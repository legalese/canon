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 me" sheetId="1" state="visible" r:id="rId3"/>
    <sheet name="Summary" sheetId="2" state="visible" r:id="rId4"/>
    <sheet name="Incidents" sheetId="3" state="visible" r:id="rId5"/>
    <sheet name="Coverage" sheetId="4" state="visible" r:id="rId6"/>
  </sheets>
  <definedNames>
    <definedName function="false" hidden="true" localSheetId="2" name="_xlnm._FilterDatabase" vbProcedure="false">Incidents!$A$1:$N$21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<sst xmlns="http://schemas.openxmlformats.org/spreadsheetml/2006/main" count="439" uniqueCount="243">
  <si>
    <t xml:space="preserve">Online Safety (Minimum Age and Child Safety Risk Assessment) Bill 2026 No 339-1</t>
  </si>
  <si>
    <t xml:space="preserve">Incident register - legislative quality assurance</t>
  </si>
  <si>
    <t xml:space="preserve">Subject</t>
  </si>
  <si>
    <t xml:space="preserve">canon/subjects/new-zealand/online-safety-minimum-age-bill-2026</t>
  </si>
  <si>
    <t xml:space="preserve">Source</t>
  </si>
  <si>
    <t xml:space="preserve">New Zealand Legislation, LMS1592864, retrieved 2026-09-11</t>
  </si>
  <si>
    <t xml:space="preserve">Bill stage</t>
  </si>
  <si>
    <t xml:space="preserve">1 (introduction), introduced 24 August 2026</t>
  </si>
  <si>
    <t xml:space="preserve">Register opened</t>
  </si>
  <si>
    <t xml:space="preserve">2026-09-11</t>
  </si>
  <si>
    <t xml:space="preserve">Terminology</t>
  </si>
  <si>
    <t xml:space="preserve">Incident</t>
  </si>
  <si>
    <t xml:space="preserve">A defect, gap or open question in the Bill as drafted. One row per incident on the Incidents sheet. Incidents are about the TEXT, not about the encoding.</t>
  </si>
  <si>
    <t xml:space="preserve">Probe</t>
  </si>
  <si>
    <t xml:space="preserve">A machine-evaluated test in the L4 encoding that demonstrates an incident. A probe is the evidence; the incident is the finding. Incident ids are #1 to #20 and are the single reference used everywhere: the register, NOTES.md section 3, the reports and the module comments. The Related column groups incidents arising from the same provision -- #2, #3 and #4 all arise from cl 5 alongside #1.</t>
  </si>
  <si>
    <t xml:space="preserve">Verification</t>
  </si>
  <si>
    <t xml:space="preserve">Machine-evaluated = an #ASSERT or #EVAL directive in a named module produces the stated result under l4 run. Reasoned = the finding follows from reading two or more provisions together and has not been reduced to a directive, usually because the relevant module is not yet encoded.</t>
  </si>
  <si>
    <t xml:space="preserve">Status vocabulary</t>
  </si>
  <si>
    <t xml:space="preserve">Open</t>
  </si>
  <si>
    <t xml:space="preserve">The incident stands against the current text and has not been resolved.</t>
  </si>
  <si>
    <t xml:space="preserve">Not yet encoded</t>
  </si>
  <si>
    <t xml:space="preserve">The incident is suspected but its module has not been written, so no probe supports it yet.</t>
  </si>
  <si>
    <t xml:space="preserve">Candidate</t>
  </si>
  <si>
    <t xml:space="preserve">Raised in discussion, not yet entered in NOTES.md; include or discard on review.</t>
  </si>
  <si>
    <t xml:space="preserve">Resolved</t>
  </si>
  <si>
    <t xml:space="preserve">Addressed by an amendment to the Bill, or withdrawn as mistaken. Record which in the Notes column.</t>
  </si>
  <si>
    <t xml:space="preserve">Severity</t>
  </si>
  <si>
    <t xml:space="preserve">Severity is the analyst's assessment, not a finding of the encoding. High = the text produces an outcome that is likely unintended and consequential. Medium = an operator or the regulator cannot determine their position from the text. Low = an asymmetry or gap that is probably deliberate but worth confirming.</t>
  </si>
  <si>
    <t xml:space="preserve">Method</t>
  </si>
  <si>
    <t xml:space="preserve">Each provision is encoded in L4 isomorphically to the clause it states, then exercised against fixtures. Where the encoding produces a result the drafter is unlikely to have intended, the result is recorded here with the directive that produced it. Expected values are machine-evaluated, never hand-typed.</t>
  </si>
  <si>
    <t xml:space="preserve">Caveat</t>
  </si>
  <si>
    <t xml:space="preserve">This register records questions for the drafter. It is not legal advice and makes no claim that any reading here is the correct one. The subject's status is 'draft': no fidelity claim is made and no human gate has been granted.</t>
  </si>
  <si>
    <t xml:space="preserve">Incident summary</t>
  </si>
  <si>
    <t xml:space="preserve">ID, title, category and severity only. Full detail on the Incidents sheet.</t>
  </si>
  <si>
    <t xml:space="preserve">ID</t>
  </si>
  <si>
    <t xml:space="preserve">Title</t>
  </si>
  <si>
    <t xml:space="preserve">Category</t>
  </si>
  <si>
    <t xml:space="preserve">#01</t>
  </si>
  <si>
    <t xml:space="preserve">Excluded-service carve-out attaches only to limb (a)</t>
  </si>
  <si>
    <t xml:space="preserve">Scope gap</t>
  </si>
  <si>
    <t xml:space="preserve">High</t>
  </si>
  <si>
    <t xml:space="preserve">#02</t>
  </si>
  <si>
    <t xml:space="preserve">A broadcast-only feed with every risky feature falls outside clause 5</t>
  </si>
  <si>
    <t xml:space="preserve">Under-inclusion</t>
  </si>
  <si>
    <t xml:space="preserve">#03</t>
  </si>
  <si>
    <t xml:space="preserve">The excluded-service carve-out is available by restructuring, and is indifferent to features</t>
  </si>
  <si>
    <t xml:space="preserve">Medium</t>
  </si>
  <si>
    <t xml:space="preserve">#04</t>
  </si>
  <si>
    <t xml:space="preserve">One engagement-metric feature pulls ordinary publishing and repository services into scope</t>
  </si>
  <si>
    <t xml:space="preserve">#05</t>
  </si>
  <si>
    <t xml:space="preserve">Tier partition over specified liability acts - verified, no defect</t>
  </si>
  <si>
    <t xml:space="preserve">Consistency check</t>
  </si>
  <si>
    <t xml:space="preserve">None</t>
  </si>
  <si>
    <t xml:space="preserve">#06</t>
  </si>
  <si>
    <t xml:space="preserve">A section 7 designation displaces the company that actually runs the platform</t>
  </si>
  <si>
    <t xml:space="preserve">Liability gap</t>
  </si>
  <si>
    <t xml:space="preserve">#07</t>
  </si>
  <si>
    <t xml:space="preserve">Designation power cannot reach a controller outside both limbs</t>
  </si>
  <si>
    <t xml:space="preserve">#08</t>
  </si>
  <si>
    <t xml:space="preserve">Exemption route reaches regulation-added platforms - verified, no defect</t>
  </si>
  <si>
    <t xml:space="preserve">#09</t>
  </si>
  <si>
    <t xml:space="preserve">The minimum age duty states only which methods fail</t>
  </si>
  <si>
    <t xml:space="preserve">Definitional openness</t>
  </si>
  <si>
    <t xml:space="preserve">#10</t>
  </si>
  <si>
    <t xml:space="preserve">A duty with no time for performance carries Tier 2 liability</t>
  </si>
  <si>
    <t xml:space="preserve">Deadline omission</t>
  </si>
  <si>
    <t xml:space="preserve">#11</t>
  </si>
  <si>
    <t xml:space="preserve">The only duty binding the regulator carries no consequence</t>
  </si>
  <si>
    <t xml:space="preserve">Unenforceable duty</t>
  </si>
  <si>
    <t xml:space="preserve">Low</t>
  </si>
  <si>
    <t xml:space="preserve">#12</t>
  </si>
  <si>
    <t xml:space="preserve">'Significant change' is defined inclusively</t>
  </si>
  <si>
    <t xml:space="preserve">#13</t>
  </si>
  <si>
    <t xml:space="preserve">The regulator is the chief executive of the department that wrote the Bill</t>
  </si>
  <si>
    <t xml:space="preserve">Structural</t>
  </si>
  <si>
    <t xml:space="preserve">#14</t>
  </si>
  <si>
    <t xml:space="preserve">Breach of an enforceable undertaking is not a specified liability act</t>
  </si>
  <si>
    <t xml:space="preserve">Enforcement gap</t>
  </si>
  <si>
    <t xml:space="preserve">#15</t>
  </si>
  <si>
    <t xml:space="preserve">The measure with immediate public effect carries the least process</t>
  </si>
  <si>
    <t xml:space="preserve">Procedural asymmetry</t>
  </si>
  <si>
    <t xml:space="preserve">#16</t>
  </si>
  <si>
    <t xml:space="preserve">The only imprisonable offence is switched off by a lesser civil breach</t>
  </si>
  <si>
    <t xml:space="preserve">#17</t>
  </si>
  <si>
    <t xml:space="preserve">Exemption from any or all requirements of the Act by Order in Council</t>
  </si>
  <si>
    <t xml:space="preserve">Delegated power</t>
  </si>
  <si>
    <t xml:space="preserve">#18</t>
  </si>
  <si>
    <t xml:space="preserve">A prohibition with no consequence, defined by the weakest regulation-making power</t>
  </si>
  <si>
    <t xml:space="preserve">#19</t>
  </si>
  <si>
    <t xml:space="preserve">Transitional relief goes to the paperwork duty, not the duty affecting users</t>
  </si>
  <si>
    <t xml:space="preserve">Transitional gap</t>
  </si>
  <si>
    <t xml:space="preserve">#20</t>
  </si>
  <si>
    <t xml:space="preserve">The scope test is self-executing and there is no register of age-restricted platforms</t>
  </si>
  <si>
    <t xml:space="preserve">Clauses</t>
  </si>
  <si>
    <t xml:space="preserve">Description</t>
  </si>
  <si>
    <t xml:space="preserve">Consequence</t>
  </si>
  <si>
    <t xml:space="preserve">Evidence</t>
  </si>
  <si>
    <t xml:space="preserve">Status</t>
  </si>
  <si>
    <t xml:space="preserve">Module</t>
  </si>
  <si>
    <t xml:space="preserve">Related</t>
  </si>
  <si>
    <t xml:space="preserve">Raised</t>
  </si>
  <si>
    <t xml:space="preserve">Notes</t>
  </si>
  <si>
    <t xml:space="preserve">#1</t>
  </si>
  <si>
    <t xml:space="preserve">cl 5(1)(b), cl 5(2)</t>
  </si>
  <si>
    <t xml:space="preserve">cl 5(2) defines 'excluded service' and cl 5(1)(a)(iv) requires that a service is not one. cl 5(1)(b), the AI companion limb, carries no such carve-out and requires no specified feature.
Buddy.ai uses AI primarily to form a personal connection to the user, but the primary service of the internet service itself is to educate.  But there is no exclusion for the AI-compaign limb.</t>
  </si>
  <si>
    <t xml:space="preserve">A service that solely or primarily enables healthcare or education - and so is excluded from limb (a) - is caught by limb (b) if it uses AI to simulate a personal connection. A therapy or tutoring chatbot falls out of scope and straight back in.</t>
  </si>
  <si>
    <t xml:space="preserve">part-1-preliminary.l4: #ASSERT 'the service is an age-restricted platform under section 5(1)(a)' 'a therapy chatbot' EQUALS FALSE; same fixture under 5(1)(b) EQUALS TRUE.</t>
  </si>
  <si>
    <t xml:space="preserve">Machine-evaluated</t>
  </si>
  <si>
    <t xml:space="preserve">part-1-preliminary.l4</t>
  </si>
  <si>
    <t xml:space="preserve">If intended, under-signposted; if not, a gap.</t>
  </si>
  <si>
    <t xml:space="preserve">#2</t>
  </si>
  <si>
    <t xml:space="preserve">cl 5(1)(a)(ii), cl 5(1)(b)(iii)</t>
  </si>
  <si>
    <t xml:space="preserve">cl 5(1)(a)(ii) requires that the service enables the exchange of digital content between 2 or more users. A service that publishes operator-generated or licensed content to a personalised, endless, time-limited feed, with no posting, commenting or messaging, satisfies every other element of limb (a) but not that one. Limb (b) does not reach it either: its AI recommends content, it does not simulate a personal connection.
Vibes by Meta will fall through this loophole.</t>
  </si>
  <si>
    <t xml:space="preserve">The Bill's own account of risk - cl 5(2) specified features, and the cl 14(2)(b) matters about recommender systems, behaviour profiling and business model - is fully present, and the service is out of scope. As AI-generated feeds displace user-generated ones this becomes the ordinary case rather than an edge case. cl 62(1)(a) can specify such a service by regulation, but only one at a time and only after the Minister has considered, sought advice and consulted.</t>
  </si>
  <si>
    <t xml:space="preserve">part-1-preliminary.l4: on 'a broadcast-only recommender feed', #ASSERT 'the service has 1 or more specified features' EQUALS TRUE and #ASSERT 'the service is an age-restricted platform' EQUALS FALSE.</t>
  </si>
  <si>
    <t xml:space="preserve">The exchange requirement is doing the work of a proxy for risk, and no longer tracks it.</t>
  </si>
  <si>
    <t xml:space="preserve">#3</t>
  </si>
  <si>
    <t xml:space="preserve">cl 5(2) excluded service</t>
  </si>
  <si>
    <t xml:space="preserve">cl 5(2) excludes a service that 'solely or primarily' enables one of eight activities 'regardless of whether it meets the criteria in subsection (1)(a)(ii) and (iii)'. The carve-out is expressly indifferent to the specified features, so a service carrying all of them is excluded if its primary character falls within a listed activity.</t>
  </si>
  <si>
    <t xml:space="preserve">Primary character is a matter of degree that the operator largely controls through product design and marketing. A social feed restructured so that gaming predominates is outside limb (a) with its recommender, endless feed and disappearing posts intact. The same route runs through messaging, music and the cl 62(1)(c) regulation-made activity.</t>
  </si>
  <si>
    <t xml:space="preserve">part-1-preliminary.l4: on 'a social app wrapped in a game', #ASSERT 'the service has 1 or more specified features' EQUALS TRUE and #ASSERT 'the service is an age-restricted platform' EQUALS FALSE.</t>
  </si>
  <si>
    <t xml:space="preserve">Compare cl 5(1)(b), which has no carve-out at all - the two limbs are calibrated oppositely.</t>
  </si>
  <si>
    <t xml:space="preserve">#4</t>
  </si>
  <si>
    <t xml:space="preserve">cl 5(2)(c), cl 5(1)(a)</t>
  </si>
  <si>
    <t xml:space="preserve">cl 5(2)(c) makes it a specified feature to display 'information to a user about how others have viewed or engaged with the user's digital content or account'. A scholarly repository that shows authors their download and view counts has that feature, enables exchange between users (authors upload, readers download), and is accessible in New Zealand.
SSRN would be age-restructed or geo-blocked preventing teenage prodigies from reading academic papers.</t>
  </si>
  <si>
    <t xml:space="preserve">Whether such a service escapes turns entirely on whether it is characterised as solely or primarily an education service under cl 5(2)(f) - a question the Bill does not settle and which flips the outcome. The same analysis reaches academic repositories, preprint servers, code hosting with stars and view counts, and photo or writing communities. The consequence for a 15-year-old is no account, not no access, but for a repository whose downloads require an account the distinction collapses.</t>
  </si>
  <si>
    <t xml:space="preserve">part-1-preliminary.l4: 'a scholarly research repository' EQUALS TRUE and 'a scholarly repository read as education' EQUALS FALSE for 'the service is an age-restricted platform' - the same service, opposite results, on a characterisation the Bill leaves open.</t>
  </si>
  <si>
    <t xml:space="preserve">Raised from a reviewer scenario (SSRN) on 2026-09-11.</t>
  </si>
  <si>
    <t xml:space="preserve">#5</t>
  </si>
  <si>
    <t xml:space="preserve">cl 34(3)(a)-(i), cll 45-47</t>
  </si>
  <si>
    <t xml:space="preserve">cll 45-47 route cl 34(3)(a)-(c) to Tier 1, (d)-(g) to Tier 2, and (h)-(i) to Tier 3. The partition appears total and disjoint on its face but has not been machine-checked.</t>
  </si>
  <si>
    <t xml:space="preserve">None on the text as drafted. The partition is total and disjoint. Recorded because it is prospective cover: if a paragraph is added to cl 34(3) without amending cll 45-47, the encoding fails to typecheck rather than leaving the new act unpenalised.</t>
  </si>
  <si>
    <t xml:space="preserve">part-3-subpart-3-remedies.l4: `the tier for` is a total function over the specified liability act enum; nine #ASSERT directives pin each act to its tier. All nine hold.</t>
  </si>
  <si>
    <t xml:space="preserve">Verified - no defect</t>
  </si>
  <si>
    <t xml:space="preserve">part-3-subpart-3-remedies.l4</t>
  </si>
  <si>
    <t xml:space="preserve">Negative result, retained as evidence of coverage.</t>
  </si>
  <si>
    <t xml:space="preserve">#6</t>
  </si>
  <si>
    <t xml:space="preserve">cl 6(1), cl 6(2)</t>
  </si>
  <si>
    <t xml:space="preserve">cl 6(2) provides that a designated person is 'the only operator ... while the designation is in place'. A person who manages or controls the platform's operations in New Zealand, and so is an operator under cl 6(1), ceases to be the operator once someone else is designated.</t>
  </si>
  <si>
    <t xml:space="preserve">Every Part 2 duty attaches to 'an operator of an age-restricted platform', so the displaced controller owes none while the designation stands. The Bill does not say what becomes of duties that accrued before the designation.</t>
  </si>
  <si>
    <t xml:space="preserve">part-1-preliminary.l4: on 'a displaced controller', #ASSERT 'the person is an operator under section 6(1)' EQUALS TRUE and #ASSERT 'the person is the operator of the platform' EQUALS FALSE.</t>
  </si>
  <si>
    <t xml:space="preserve">Consider a savings provision for accrued duties.</t>
  </si>
  <si>
    <t xml:space="preserve">#7</t>
  </si>
  <si>
    <t xml:space="preserve">cl 7(1)(a), cl 7(1)(b)</t>
  </si>
  <si>
    <t xml:space="preserve">cl 7(1) permits the regulator to designate only a cl 6(1) operator or an interconnected body corporate of one. No other person can be designated, however clearly they direct the platform.</t>
  </si>
  <si>
    <t xml:space="preserve">cl 7(2)(a) gives the purpose of the power as providing certainty about who is and is not an operator. That certainty is unavailable in precisely the case where identifying the operator is hardest - a platform whose controller answers neither limb.</t>
  </si>
  <si>
    <t xml:space="preserve">Surfaced while encoding cl 7(1) in part-1-preliminary.l4; follows from the text of the limbs.</t>
  </si>
  <si>
    <t xml:space="preserve">Reasoned</t>
  </si>
  <si>
    <t xml:space="preserve">cl 19(3)(b) solves the same problem three clauses later by requiring the notice to specify the date.</t>
  </si>
  <si>
    <t xml:space="preserve">#8</t>
  </si>
  <si>
    <t xml:space="preserve">cl 5(1)(c), cl 61, cl 62</t>
  </si>
  <si>
    <t xml:space="preserve">Three routes bring a service into scope: the cl 5(1)(a) and (b) tests, cl 62 regulations under cl 5(1)(c), and cl 7 designation of an operator. cl 61 exemption orders are the route out.</t>
  </si>
  <si>
    <t xml:space="preserve">None. cl 61(1)(a) exempts an operator of an age-restricted platform, and a service specified under cl 62(1)(a) is an age-restricted platform by force of cl 5(1)(c), so the exemption route reaches it. Encoding cl 62 did show that each limb of cl 62(1) carries its own satisfaction test - cl 62(4) for (a) and (b), cl 62(6) for (c) - and they are not interchangeable.</t>
  </si>
  <si>
    <t xml:space="preserve">part-3-subpart-5-other.l4: #ASSERT shows a cl 62(1)(c) recommendation failing where only the cl 62(4) test is satisfied, and succeeding for a cl 62(1)(a) recommendation on that test.</t>
  </si>
  <si>
    <t xml:space="preserve">part-3-subpart-5-other.l4</t>
  </si>
  <si>
    <t xml:space="preserve">#9</t>
  </si>
  <si>
    <t xml:space="preserve">cl 11(1), cl 11(2), cl 11(3)</t>
  </si>
  <si>
    <t xml:space="preserve">cl 11(2) provides that manual entry of age or date of birth is not a reasonable step. cl 11(3) provides that an approved evidence of age document, a digital identity service, or both together do not satisfy the duty. Nothing states what does.</t>
  </si>
  <si>
    <t xml:space="preserve">An operator can determine with certainty only which methods will fail. The residue of 'reasonable steps' is left to be worked out against a Tier 1 penalty - cl 34(3)(a) routes to cl 45, the greater of $40 million or 10% of relevant global turnover.</t>
  </si>
  <si>
    <t xml:space="preserve">part-2-duties.l4: #ASSERT 'the steps taken cannot satisfy the duty' 'identity documents only' EQUALS TRUE; #ASSERT 'the operator satisfies the duty in section 11(1)' EQUALS FALSE.</t>
  </si>
  <si>
    <t xml:space="preserve">part-2-duties.l4</t>
  </si>
  <si>
    <t xml:space="preserve">May be deliberate; the encoding keeps the residue visible as its own field.</t>
  </si>
  <si>
    <t xml:space="preserve">cl 16(5), cl 34(3)(f), cl 46</t>
  </si>
  <si>
    <t xml:space="preserve">cl 15(1) allows 12 months or an earlier notified date. cl 17(3) requires a copy as soon as practicable after the assessment and before the change is made. cl 16(5) says only that 'on completion of a review, the operator must provide the regulator with a copy' - no period, no notified date, no 'as soon as practicable'.</t>
  </si>
  <si>
    <t xml:space="preserve">cl 34(3)(f) makes failure to provide in accordance with cl 16(5) a specified liability act, and cl 46 routes it to Tier 2: $250,000 for an individual, or otherwise the greater of $12 million and 3% of relevant global turnover. The operator cannot know when the duty is breached.</t>
  </si>
  <si>
    <t xml:space="preserve">Surfaced while encoding cl 16 in part-2-duties.l4: the DEONTIC WITHIN had no value to take, where cll 15 and 17 both supplied one.</t>
  </si>
  <si>
    <t xml:space="preserve">cl 13(3)</t>
  </si>
  <si>
    <t xml:space="preserve">cl 13(3) requires the regulator to notify the Privacy Commissioner before applying to the High Court for a court-imposed remedy in respect of a cl 12(1) contravention.</t>
  </si>
  <si>
    <t xml:space="preserve">All nine specified liability acts in cl 34(3) are operator failures, and the offences in cll 57-60 do not reach the regulator. Nothing in the Act attaches to a breach of cl 13(3); judicial review is the only route.</t>
  </si>
  <si>
    <t xml:space="preserve">part-2-duties.l4 models it as the sole 'the regulator' arm of the duty actor enum, which is what made the asymmetry visible.</t>
  </si>
  <si>
    <t xml:space="preserve">Probably deliberate; worth confirming.</t>
  </si>
  <si>
    <t xml:space="preserve">cl 17(1), cl 17(4)</t>
  </si>
  <si>
    <t xml:space="preserve">cl 17(4) provides that significant change 'includes' a significant change to the design, features or functionality of the platform, or to its terms of use. The two limbs are sufficient, not exhaustive.</t>
  </si>
  <si>
    <t xml:space="preserve">An operator cannot determine in advance whether a given change triggers the cl 17(1) duty to assess before making it. Failure to provide the resulting assessment is a cl 34(3)(f) specified liability act at Tier 2.</t>
  </si>
  <si>
    <t xml:space="preserve">part-2-duties.l4 encodes the two limbs as sufficient rather than necessary, following the text.</t>
  </si>
  <si>
    <t xml:space="preserve">cl 4 (regulator), cl 20(1), cl 20(2)</t>
  </si>
  <si>
    <t xml:space="preserve">cl 4 defines 'regulator' as the chief executive of the Ministry - the department responsible for administration of the Act, which the explanatory note identifies as the Department of Internal Affairs, the same department that prepared the regulatory analysis summary and certified the Bill's consistency under the Regulatory Standards Act 2025.</t>
  </si>
  <si>
    <t xml:space="preserve">cl 20(2) requires independence from the Minister, but only for the functions in cl 20(1)(a) and (b), and only as against the Minister - not as against the department the regulator heads. cl 20(1)(e) has the regulator advising the Minister on the cll 61-63 powers.</t>
  </si>
  <si>
    <t xml:space="preserve">Reading of cl 4, cl 20 and the explanatory note; not reduced to a directive.</t>
  </si>
  <si>
    <t xml:space="preserve">part-3-subpart-1-regulator.l4</t>
  </si>
  <si>
    <t xml:space="preserve">Raised in discussion 2026-09-11. Include in NOTES.md or discard on review.</t>
  </si>
  <si>
    <t xml:space="preserve">cl 29(2), cl 34(3), cl 30(2)</t>
  </si>
  <si>
    <t xml:space="preserve">cl 29(2) provides that an operator must not breach an undertaking that is in force. None of the nine specified liability acts in cl 34(3) is that breach.</t>
  </si>
  <si>
    <t xml:space="preserve">No pecuniary penalty is available under cll 44-47 for breaching an undertaking. The remedies are a cl 30(2) order to comply or discharge, costs under cl 30(3), and - where the underlying act is ongoing - a service restriction order via cl 35(2)(c)(i)(B). The gap is narrower than it looks: cl 29(3)(a) bars proceedings only while the undertaking is in force AND unbreached, so breach lifts the bar on the underlying act. What cannot be penalised is the breach itself.</t>
  </si>
  <si>
    <t xml:space="preserve">part-3-subpart-2-enforcement.l4: #ASSERT 'proceedings are barred by the undertaking' EQUALS TRUE on 'an undertaking in force and kept' and FALSE on 'an undertaking in breach'; cl 34(3) enum in types.l4 contains no undertaking-breach member.</t>
  </si>
  <si>
    <t xml:space="preserve">part-3-subpart-2-enforcement.l4</t>
  </si>
  <si>
    <t xml:space="preserve">The sanction for breaking a statutory promise is an order to keep it.</t>
  </si>
  <si>
    <t xml:space="preserve">cl 24(2), cl 25(3), cl 33</t>
  </si>
  <si>
    <t xml:space="preserve">cl 24(2) requires the regulator to publicly notify a warning as soon as reasonably practicable. Nothing in cl 24 requires prior notice to the operator, a statement of the case, or an opportunity to be heard. cl 25(3) requires at least 5 working days' notice and a hearing before the operator can be made to republish that warning; cl 33 requires 10 working days and a hearing before a corrective notice.</t>
  </si>
  <si>
    <t xml:space="preserve">Public naming attracts no process, republishing the naming attracts 5 working days and a hearing, and requiring remedial steps attracts 10. The order of intrusion and the order of procedural protection do not match.</t>
  </si>
  <si>
    <t xml:space="preserve">part-3-subpart-2-enforcement.l4 encodes the cl 25(3) and cl 33 gates, each with its working-day floor; cl 24 has no gate to encode, which is the finding.</t>
  </si>
  <si>
    <t xml:space="preserve">cl 57(1), cl 18, cl 34(3)(g), cl 46</t>
  </si>
  <si>
    <t xml:space="preserve">cl 57 makes it an offence to confirm the accuracy of a risk assessment knowing it to be false or misleading in a material particular, but only 'an individual designated under section 18' can commit it. If the operator never designates anyone, no individual is within the offence.</t>
  </si>
  <si>
    <t xml:space="preserve">Failing to designate is a cl 34(3)(g) specified liability act routed by cl 46 to Tier 2 - a civil penalty - and committing it extinguishes the criminal exposure of every officer of the operator. cl 57 is the only provision in the Bill carrying imprisonment alongside a fine on an individual for conduct about risk assessments.</t>
  </si>
  <si>
    <t xml:space="preserve">part-3-subpart-4-offences.l4: identical conduct through two fixtures. #ASSERT 'an offence under section 57 is committed' EQUALS TRUE on 'a designated individual who certifies falsely' and EQUALS FALSE on 'an undesignated officer who certifies falsely'.</t>
  </si>
  <si>
    <t xml:space="preserve">part-3-subpart-4-offences.l4</t>
  </si>
  <si>
    <t xml:space="preserve">Consider extending cl 57 to a person who confirms accuracy whether or not designated.</t>
  </si>
  <si>
    <t xml:space="preserve">cl 61(1)(a), cl 61(3), cl 61(4)</t>
  </si>
  <si>
    <t xml:space="preserve">cl 61(1)(a) is not limited to particular duties. An exemption order may relieve a named operator of 'any or all requirements under this Act', the cl 11 minimum age duty included.</t>
  </si>
  <si>
    <t xml:space="preserve">The controls are the cl 61(2) procedural limbs and a single cl 61(3) satisfaction test that the benefits outweigh the risk to children. No limit on duration, no reasons requirement beyond the secondary-legislation publication rules, no parliamentary confirmation on the face of the Bill.</t>
  </si>
  <si>
    <t xml:space="preserve">part-3-subpart-5-other.l4 encodes cl 61(2) and cl 61(3); the absence of any subject-matter limit in cl 61(1)(a) is the finding.</t>
  </si>
  <si>
    <t xml:space="preserve">Raise alongside the Regulatory Standards Act 2025 material filed with the Bill.</t>
  </si>
  <si>
    <t xml:space="preserve">cl 11(4), cl 63(2), cl 34(3)(a)</t>
  </si>
  <si>
    <t xml:space="preserve">cl 11(4) forbids an operator to collect personal information of a class specified in cl 63 regulations for the purpose of complying with the minimum age duty. cl 34(3)(a) reaches only a failure to take reasonable steps 'in accordance with section 11', which is cl 11(1).</t>
  </si>
  <si>
    <t xml:space="preserve">Breach of cl 11(4) is not a specified liability act, is not an offence under cll 57 to 60, and attracts nothing. The class of forbidden information is set by cl 63 regulations, the only regulation-making power in the Bill with no satisfaction test - cl 63(2) requires advice and consultation and nothing more. A substantive privacy prohibition, least-constrained instrument, no enforcement.</t>
  </si>
  <si>
    <t xml:space="preserve">part-2-duties.l4 decides 'the operator contravenes section 11(4)'; no rule in the remedies or offences modules consumes it.</t>
  </si>
  <si>
    <t xml:space="preserve">Sch 1 cll 2, 3; cl 11; cl 15(1)(a)</t>
  </si>
  <si>
    <t xml:space="preserve">Sch 1 cl 3(2) reads cl 15 as allowing an operator already trading at commencement 6 months to provide its first child safety risk assessment. Sch 1 cl 2 gives no equivalent grace on cl 11: the minimum age duty applies regardless of whether the account was created before, on or after the commencement date.</t>
  </si>
  <si>
    <t xml:space="preserve">From day one an operator must be taking reasonable steps against its entire existing under-16 user base, with Tier 1 exposure under cl 34(3)(a) and cl 45 - the greater of $40m and 10% of relevant global turnover. The filing duty, breach of which is Tier 2, gets six months; the account duty, breach of which is Tier 1 and which requires re-verifying a live user base, gets none. Separately, an operator trading at commencement has 6 months to file while a service caught later by cl 62 regulations gets cl 15(1)(a)'s full 12 - the operator with the longest notice of the regime gets the shortest period.</t>
  </si>
  <si>
    <t xml:space="preserve">schedule-1-transitional.l4: #ASSERT 'the section 11 duty applies in respect of the account' EQUALS TRUE on both 'a pre-existing under-16 account' and 'a new under-16 account'; #ASSERT 'months to provide the first risk assessment for' EQUALS 6 for an existing operator and 12 for a platform caught later by regulations.</t>
  </si>
  <si>
    <t xml:space="preserve">schedule-1-transitional.l4</t>
  </si>
  <si>
    <t xml:space="preserve">Consider a transitional period for remediating pre-existing accounts.</t>
  </si>
  <si>
    <t xml:space="preserve">cl 5, cl 7(3), cl 8, cl 62</t>
  </si>
  <si>
    <t xml:space="preserve">cl 5 makes a service an age-restricted platform because it meets the test, not because anyone has said so. No provision requires the regulator to publish which services are in scope: the only list duty in the Bill is cl 7(3), a list of operator designations, and cl 62 regulations can add named services but cannot enumerate the existing population.</t>
  </si>
  <si>
    <t xml:space="preserve">Every operator must self-assess against cl 5, with Tier 1 exposure under cl 34(3)(a) and cl 45 - the greater of $40m and 10% of relevant global turnover - for getting it wrong. Three features compound: cl 5(1)(b) is unbounded (no specified feature, no excluded-service carve-out, see #1), cl 8 makes the operator's location irrelevant so the population is overwhelmingly offshore, and no one - regulator or operator - can state its size. Australia's equivalent scheme has the eSafety Commissioner publish which platforms are age-restricted; ten were formally identified and a tail self-assessed in. This Bill creates the same obligation with no equivalent mechanism, over a wider category.</t>
  </si>
  <si>
    <t xml:space="preserve">part-1-preliminary.l4: 'the service is an age-restricted platform' takes only facts about the service and consults no register, because the Bill provides none. The only list duty, cl 7(3), concerns designations of operators.</t>
  </si>
  <si>
    <t xml:space="preserve">Design question rather than a drafting defect. Compare the Australian publication mechanism.</t>
  </si>
  <si>
    <t xml:space="preserve">Encoding coverage and register summary</t>
  </si>
  <si>
    <t xml:space="preserve">#ASSERT directives</t>
  </si>
  <si>
    <t xml:space="preserve">types.l4</t>
  </si>
  <si>
    <t xml:space="preserve">shared domain</t>
  </si>
  <si>
    <t xml:space="preserve">encoded</t>
  </si>
  <si>
    <t xml:space="preserve">cll 1-10</t>
  </si>
  <si>
    <t xml:space="preserve">cll 11-19</t>
  </si>
  <si>
    <t xml:space="preserve">cll 20-23</t>
  </si>
  <si>
    <t xml:space="preserve">cll 24-33</t>
  </si>
  <si>
    <t xml:space="preserve">cll 34-56</t>
  </si>
  <si>
    <t xml:space="preserve">encoded in part</t>
  </si>
  <si>
    <t xml:space="preserve">cll 57-60</t>
  </si>
  <si>
    <t xml:space="preserve">cll 61-64</t>
  </si>
  <si>
    <t xml:space="preserve">Sch 1</t>
  </si>
  <si>
    <t xml:space="preserve">Total</t>
  </si>
  <si>
    <t xml:space="preserve">Register summary</t>
  </si>
  <si>
    <t xml:space="preserve">Incidents recorded</t>
  </si>
  <si>
    <t xml:space="preserve">Reasoned only</t>
  </si>
  <si>
    <t xml:space="preserve">Severity High</t>
  </si>
  <si>
    <t xml:space="preserve">Severity Medium</t>
  </si>
  <si>
    <t xml:space="preserve">Severity Low</t>
  </si>
  <si>
    <t xml:space="preserve">Status Open</t>
  </si>
  <si>
    <t xml:space="preserve">Status Not yet encoded</t>
  </si>
  <si>
    <t xml:space="preserve">Status Candidate</t>
  </si>
  <si>
    <t xml:space="preserve">Status Resolved</t>
  </si>
  <si>
    <t xml:space="preserve">Status Verified - no defect</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</si>
</sst>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i val="true"/>
      <sz val="11"/>
      <name val="Arial"/>
      <family val="0"/>
      <charset val="1"/>
    </font>
    <font>
      <b val="true"/>
      <sz val="10"/>
      <name val="Arial"/>
      <family val="0"/>
      <charset val="1"/>
    </font>
    <font>
      <i val="true"/>
      <sz val="10"/>
      <name val="Arial"/>
      <family val="0"/>
      <charset val="1"/>
    </font>
    <font>
      <b val="true"/>
      <sz val="10"/>
      <color rgb="FFFFFFFF"/>
      <name val="Arial"/>
      <family val="0"/>
      <charset val="1"/>
    </font>
    <font>
      <b val="true"/>
      <sz val="11"/>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CE4E4"/>
        <bgColor rgb="FFF2F2F2"/>
      </patternFill>
    </fill>
    <fill>
      <patternFill patternType="solid">
        <fgColor rgb="FFFFF2CC"/>
        <bgColor rgb="FFFCE4E4"/>
      </patternFill>
    </fill>
    <fill>
      <patternFill patternType="solid">
        <fgColor rgb="FFF2F2F2"/>
        <bgColor rgb="FFEAF3EA"/>
      </patternFill>
    </fill>
    <fill>
      <patternFill patternType="solid">
        <fgColor rgb="FFEAF3EA"/>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7" fillId="0" borderId="0" xfId="0" applyFont="true" applyBorder="fals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general" vertical="bottom" textRotation="0" wrapText="false" indent="0" shrinkToFit="false"/>
      <protection locked="true" hidden="false"/>
    </xf>
    <xf numFmtId="164" fontId="7" fillId="3" borderId="1" xfId="0" applyFont="true" applyBorder="true" applyAlignment="true" applyProtection="true">
      <alignment horizontal="general" vertical="top" textRotation="0" wrapText="true" indent="0" shrinkToFit="false"/>
      <protection locked="true" hidden="false"/>
    </xf>
    <xf numFmtId="164" fontId="5" fillId="3" borderId="1" xfId="0" applyFont="true" applyBorder="true" applyAlignment="true" applyProtection="true">
      <alignment horizontal="general" vertical="top" textRotation="0" wrapText="true" indent="0" shrinkToFit="false"/>
      <protection locked="true" hidden="false"/>
    </xf>
    <xf numFmtId="164" fontId="7" fillId="4" borderId="1" xfId="0" applyFont="true" applyBorder="true" applyAlignment="true" applyProtection="true">
      <alignment horizontal="general" vertical="top" textRotation="0" wrapText="true" indent="0" shrinkToFit="false"/>
      <protection locked="true" hidden="false"/>
    </xf>
    <xf numFmtId="164" fontId="5" fillId="4" borderId="1" xfId="0" applyFont="true" applyBorder="true" applyAlignment="true" applyProtection="true">
      <alignment horizontal="general" vertical="top" textRotation="0" wrapText="true" indent="0" shrinkToFit="false"/>
      <protection locked="true" hidden="false"/>
    </xf>
    <xf numFmtId="164" fontId="7" fillId="5" borderId="1" xfId="0" applyFont="true" applyBorder="true" applyAlignment="true" applyProtection="true">
      <alignment horizontal="general" vertical="top" textRotation="0" wrapText="true" indent="0" shrinkToFit="false"/>
      <protection locked="true" hidden="false"/>
    </xf>
    <xf numFmtId="164" fontId="5" fillId="5" borderId="1" xfId="0" applyFont="true" applyBorder="true" applyAlignment="true" applyProtection="true">
      <alignment horizontal="general" vertical="top" textRotation="0" wrapText="true" indent="0" shrinkToFit="false"/>
      <protection locked="true" hidden="false"/>
    </xf>
    <xf numFmtId="164" fontId="7" fillId="6" borderId="1" xfId="0" applyFont="true" applyBorder="true" applyAlignment="true" applyProtection="true">
      <alignment horizontal="general" vertical="top" textRotation="0" wrapText="true" indent="0" shrinkToFit="false"/>
      <protection locked="true" hidden="false"/>
    </xf>
    <xf numFmtId="164" fontId="5" fillId="6" borderId="1" xfId="0" applyFont="true" applyBorder="true" applyAlignment="true" applyProtection="true">
      <alignment horizontal="general" vertical="top" textRotation="0" wrapText="true" indent="0" shrinkToFit="false"/>
      <protection locked="true" hidden="false"/>
    </xf>
    <xf numFmtId="164" fontId="9" fillId="2" borderId="1" xfId="0" applyFont="true" applyBorder="true" applyAlignment="true" applyProtection="true">
      <alignment horizontal="general" vertical="center" textRotation="0" wrapText="tru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EAF3EA"/>
          <bgColor rgb="FF000000"/>
        </patternFill>
      </fill>
    </dxf>
    <dxf>
      <fill>
        <patternFill patternType="solid">
          <fgColor rgb="FFF2F2F2"/>
          <bgColor rgb="FF000000"/>
        </patternFill>
      </fill>
    </dxf>
    <dxf>
      <fill>
        <patternFill patternType="solid">
          <fgColor rgb="FFFCE4E4"/>
          <bgColor rgb="FF000000"/>
        </patternFill>
      </fill>
    </dxf>
    <dxf>
      <fill>
        <patternFill patternType="solid">
          <fgColor rgb="FFFFF2CC"/>
          <bgColor rgb="FF000000"/>
        </patternFill>
      </fill>
    </dxf>
    <dxf>
      <fill>
        <patternFill patternType="solid">
          <bgColor rgb="FF000000"/>
        </patternFill>
      </fill>
    </dxf>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AF3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B11" activeCellId="0" sqref="B11"/>
    </sheetView>
  </sheetViews>
  <sheetFormatPr defaultColWidth="8.453125" defaultRowHeight="15" customHeight="false" zeroHeight="false" outlineLevelRow="0" outlineLevelCol="0"/>
  <cols>
    <col collapsed="false" customWidth="true" hidden="false" outlineLevel="0" max="1" min="1" style="1" width="22"/>
    <col collapsed="false" customWidth="true" hidden="false" outlineLevel="0" max="2" min="2" style="1" width="105"/>
  </cols>
  <sheetData>
    <row r="1" customFormat="false" ht="17.25" hidden="false" customHeight="true" outlineLevel="0" collapsed="false">
      <c r="A1" s="2" t="s">
        <v>0</v>
      </c>
      <c r="B1" s="3"/>
    </row>
    <row r="2" customFormat="false" ht="15" hidden="false" customHeight="true" outlineLevel="0" collapsed="false">
      <c r="A2" s="4" t="s">
        <v>1</v>
      </c>
      <c r="B2" s="3"/>
    </row>
    <row r="3" customFormat="false" ht="15" hidden="false" customHeight="true" outlineLevel="0" collapsed="false">
      <c r="A3" s="5"/>
      <c r="B3" s="3"/>
    </row>
    <row r="4" customFormat="false" ht="15" hidden="false" customHeight="true" outlineLevel="0" collapsed="false">
      <c r="A4" s="6" t="s">
        <v>2</v>
      </c>
      <c r="B4" s="3" t="s">
        <v>3</v>
      </c>
    </row>
    <row r="5" customFormat="false" ht="15" hidden="false" customHeight="true" outlineLevel="0" collapsed="false">
      <c r="A5" s="6" t="s">
        <v>4</v>
      </c>
      <c r="B5" s="3" t="s">
        <v>5</v>
      </c>
    </row>
    <row r="6" customFormat="false" ht="15" hidden="false" customHeight="true" outlineLevel="0" collapsed="false">
      <c r="A6" s="6" t="s">
        <v>6</v>
      </c>
      <c r="B6" s="3" t="s">
        <v>7</v>
      </c>
    </row>
    <row r="7" customFormat="false" ht="15" hidden="false" customHeight="true" outlineLevel="0" collapsed="false">
      <c r="A7" s="6" t="s">
        <v>8</v>
      </c>
      <c r="B7" s="3" t="s">
        <v>9</v>
      </c>
    </row>
    <row r="8" customFormat="false" ht="15" hidden="false" customHeight="true" outlineLevel="0" collapsed="false">
      <c r="A8" s="5"/>
      <c r="B8" s="3"/>
    </row>
    <row r="9" customFormat="false" ht="15" hidden="false" customHeight="true" outlineLevel="0" collapsed="false">
      <c r="A9" s="6" t="s">
        <v>10</v>
      </c>
      <c r="B9" s="3"/>
    </row>
    <row r="10" customFormat="false" ht="57.75" hidden="false" customHeight="true" outlineLevel="0" collapsed="false">
      <c r="A10" s="6" t="s">
        <v>11</v>
      </c>
      <c r="B10" s="3" t="s">
        <v>12</v>
      </c>
    </row>
    <row r="11" customFormat="false" ht="57.75" hidden="false" customHeight="true" outlineLevel="0" collapsed="false">
      <c r="A11" s="6" t="s">
        <v>13</v>
      </c>
      <c r="B11" s="3" t="s">
        <v>14</v>
      </c>
    </row>
    <row r="12" customFormat="false" ht="57.75" hidden="false" customHeight="true" outlineLevel="0" collapsed="false">
      <c r="A12" s="6" t="s">
        <v>15</v>
      </c>
      <c r="B12" s="3" t="s">
        <v>16</v>
      </c>
    </row>
    <row r="13" customFormat="false" ht="15" hidden="false" customHeight="true" outlineLevel="0" collapsed="false">
      <c r="A13" s="5"/>
      <c r="B13" s="3"/>
    </row>
    <row r="14" customFormat="false" ht="15" hidden="false" customHeight="true" outlineLevel="0" collapsed="false">
      <c r="A14" s="5" t="s">
        <v>17</v>
      </c>
      <c r="B14" s="3"/>
    </row>
    <row r="15" customFormat="false" ht="15" hidden="false" customHeight="true" outlineLevel="0" collapsed="false">
      <c r="A15" s="6" t="s">
        <v>18</v>
      </c>
      <c r="B15" s="3" t="s">
        <v>19</v>
      </c>
    </row>
    <row r="16" customFormat="false" ht="15" hidden="false" customHeight="true" outlineLevel="0" collapsed="false">
      <c r="A16" s="6" t="s">
        <v>20</v>
      </c>
      <c r="B16" s="3" t="s">
        <v>21</v>
      </c>
    </row>
    <row r="17" customFormat="false" ht="15" hidden="false" customHeight="true" outlineLevel="0" collapsed="false">
      <c r="A17" s="6" t="s">
        <v>22</v>
      </c>
      <c r="B17" s="3" t="s">
        <v>23</v>
      </c>
    </row>
    <row r="18" customFormat="false" ht="15" hidden="false" customHeight="true" outlineLevel="0" collapsed="false">
      <c r="A18" s="6" t="s">
        <v>24</v>
      </c>
      <c r="B18" s="3" t="s">
        <v>25</v>
      </c>
    </row>
    <row r="19" customFormat="false" ht="15" hidden="false" customHeight="true" outlineLevel="0" collapsed="false">
      <c r="A19" s="5"/>
      <c r="B19" s="3"/>
    </row>
    <row r="20" customFormat="false" ht="15" hidden="false" customHeight="true" outlineLevel="0" collapsed="false">
      <c r="A20" s="5" t="s">
        <v>26</v>
      </c>
      <c r="B20" s="3"/>
    </row>
    <row r="21" customFormat="false" ht="34.5" hidden="false" customHeight="true" outlineLevel="0" collapsed="false">
      <c r="A21" s="6"/>
      <c r="B21" s="3" t="s">
        <v>27</v>
      </c>
    </row>
    <row r="22" customFormat="false" ht="57.75" hidden="false" customHeight="true" outlineLevel="0" collapsed="false">
      <c r="A22" s="5"/>
      <c r="B22" s="3"/>
    </row>
    <row r="23" customFormat="false" ht="34.5" hidden="false" customHeight="true" outlineLevel="0" collapsed="false">
      <c r="A23" s="6" t="s">
        <v>28</v>
      </c>
      <c r="B23" s="3" t="s">
        <v>29</v>
      </c>
    </row>
    <row r="24" customFormat="false" ht="24" hidden="false" customHeight="true" outlineLevel="0" collapsed="false">
      <c r="A24" s="6" t="s">
        <v>30</v>
      </c>
      <c r="B24" s="3" t="s">
        <v>31</v>
      </c>
    </row>
    <row r="25" customFormat="false" ht="57.75" hidden="false" customHeight="true" outlineLevel="0" collapsed="false"/>
    <row r="26" customFormat="false" ht="57.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28" activeCellId="0" sqref="B28"/>
    </sheetView>
  </sheetViews>
  <sheetFormatPr defaultColWidth="8.453125" defaultRowHeight="15" customHeight="false" zeroHeight="false" outlineLevelRow="0" outlineLevelCol="0"/>
  <cols>
    <col collapsed="false" customWidth="true" hidden="false" outlineLevel="0" max="1" min="1" style="1" width="5.99"/>
    <col collapsed="false" customWidth="true" hidden="false" outlineLevel="0" max="2" min="2" style="1" width="77.3"/>
    <col collapsed="false" customWidth="true" hidden="false" outlineLevel="0" max="3" min="3" style="1" width="20.98"/>
    <col collapsed="false" customWidth="true" hidden="false" outlineLevel="0" max="4" min="4" style="1" width="12"/>
  </cols>
  <sheetData>
    <row r="1" customFormat="false" ht="17.35" hidden="false" customHeight="false" outlineLevel="0" collapsed="false">
      <c r="A1" s="7" t="s">
        <v>32</v>
      </c>
    </row>
    <row r="2" customFormat="false" ht="15" hidden="false" customHeight="false" outlineLevel="0" collapsed="false">
      <c r="A2" s="8" t="s">
        <v>33</v>
      </c>
    </row>
    <row r="4" customFormat="false" ht="15" hidden="false" customHeight="false" outlineLevel="0" collapsed="false">
      <c r="A4" s="9" t="s">
        <v>34</v>
      </c>
      <c r="B4" s="9" t="s">
        <v>35</v>
      </c>
      <c r="C4" s="9" t="s">
        <v>36</v>
      </c>
      <c r="D4" s="9" t="s">
        <v>26</v>
      </c>
    </row>
    <row r="5" customFormat="false" ht="18.8" hidden="false" customHeight="true" outlineLevel="0" collapsed="false">
      <c r="A5" s="10" t="s">
        <v>37</v>
      </c>
      <c r="B5" s="11" t="s">
        <v>38</v>
      </c>
      <c r="C5" s="11" t="s">
        <v>39</v>
      </c>
      <c r="D5" s="11" t="s">
        <v>40</v>
      </c>
    </row>
    <row r="6" customFormat="false" ht="18.8" hidden="false" customHeight="true" outlineLevel="0" collapsed="false">
      <c r="A6" s="10" t="s">
        <v>41</v>
      </c>
      <c r="B6" s="11" t="s">
        <v>42</v>
      </c>
      <c r="C6" s="11" t="s">
        <v>43</v>
      </c>
      <c r="D6" s="11" t="s">
        <v>40</v>
      </c>
    </row>
    <row r="7" customFormat="false" ht="18.8" hidden="false" customHeight="true" outlineLevel="0" collapsed="false">
      <c r="A7" s="12" t="s">
        <v>44</v>
      </c>
      <c r="B7" s="13" t="s">
        <v>45</v>
      </c>
      <c r="C7" s="13" t="s">
        <v>43</v>
      </c>
      <c r="D7" s="13" t="s">
        <v>46</v>
      </c>
    </row>
    <row r="8" customFormat="false" ht="18.8" hidden="false" customHeight="true" outlineLevel="0" collapsed="false">
      <c r="A8" s="12" t="s">
        <v>47</v>
      </c>
      <c r="B8" s="13" t="s">
        <v>48</v>
      </c>
      <c r="C8" s="13" t="s">
        <v>39</v>
      </c>
      <c r="D8" s="13" t="s">
        <v>46</v>
      </c>
    </row>
    <row r="9" customFormat="false" ht="18.8" hidden="false" customHeight="true" outlineLevel="0" collapsed="false">
      <c r="A9" s="14" t="s">
        <v>49</v>
      </c>
      <c r="B9" s="15" t="s">
        <v>50</v>
      </c>
      <c r="C9" s="15" t="s">
        <v>51</v>
      </c>
      <c r="D9" s="15" t="s">
        <v>52</v>
      </c>
    </row>
    <row r="10" customFormat="false" ht="18.8" hidden="false" customHeight="true" outlineLevel="0" collapsed="false">
      <c r="A10" s="10" t="s">
        <v>53</v>
      </c>
      <c r="B10" s="11" t="s">
        <v>54</v>
      </c>
      <c r="C10" s="11" t="s">
        <v>55</v>
      </c>
      <c r="D10" s="11" t="s">
        <v>40</v>
      </c>
    </row>
    <row r="11" customFormat="false" ht="18.8" hidden="false" customHeight="true" outlineLevel="0" collapsed="false">
      <c r="A11" s="12" t="s">
        <v>56</v>
      </c>
      <c r="B11" s="13" t="s">
        <v>57</v>
      </c>
      <c r="C11" s="13" t="s">
        <v>39</v>
      </c>
      <c r="D11" s="13" t="s">
        <v>46</v>
      </c>
    </row>
    <row r="12" customFormat="false" ht="18.8" hidden="false" customHeight="true" outlineLevel="0" collapsed="false">
      <c r="A12" s="14" t="s">
        <v>58</v>
      </c>
      <c r="B12" s="15" t="s">
        <v>59</v>
      </c>
      <c r="C12" s="15" t="s">
        <v>51</v>
      </c>
      <c r="D12" s="15" t="s">
        <v>52</v>
      </c>
    </row>
    <row r="13" customFormat="false" ht="18.8" hidden="false" customHeight="true" outlineLevel="0" collapsed="false">
      <c r="A13" s="12" t="s">
        <v>60</v>
      </c>
      <c r="B13" s="13" t="s">
        <v>61</v>
      </c>
      <c r="C13" s="13" t="s">
        <v>62</v>
      </c>
      <c r="D13" s="13" t="s">
        <v>46</v>
      </c>
    </row>
    <row r="14" customFormat="false" ht="18.8" hidden="false" customHeight="true" outlineLevel="0" collapsed="false">
      <c r="A14" s="10" t="s">
        <v>63</v>
      </c>
      <c r="B14" s="11" t="s">
        <v>64</v>
      </c>
      <c r="C14" s="11" t="s">
        <v>65</v>
      </c>
      <c r="D14" s="11" t="s">
        <v>40</v>
      </c>
    </row>
    <row r="15" customFormat="false" ht="18.8" hidden="false" customHeight="true" outlineLevel="0" collapsed="false">
      <c r="A15" s="16" t="s">
        <v>66</v>
      </c>
      <c r="B15" s="17" t="s">
        <v>67</v>
      </c>
      <c r="C15" s="17" t="s">
        <v>68</v>
      </c>
      <c r="D15" s="17" t="s">
        <v>69</v>
      </c>
    </row>
    <row r="16" customFormat="false" ht="18.8" hidden="false" customHeight="true" outlineLevel="0" collapsed="false">
      <c r="A16" s="12" t="s">
        <v>70</v>
      </c>
      <c r="B16" s="13" t="s">
        <v>71</v>
      </c>
      <c r="C16" s="13" t="s">
        <v>62</v>
      </c>
      <c r="D16" s="13" t="s">
        <v>46</v>
      </c>
    </row>
    <row r="17" customFormat="false" ht="18.8" hidden="false" customHeight="true" outlineLevel="0" collapsed="false">
      <c r="A17" s="12" t="s">
        <v>72</v>
      </c>
      <c r="B17" s="13" t="s">
        <v>73</v>
      </c>
      <c r="C17" s="13" t="s">
        <v>74</v>
      </c>
      <c r="D17" s="13" t="s">
        <v>46</v>
      </c>
    </row>
    <row r="18" customFormat="false" ht="18.8" hidden="false" customHeight="true" outlineLevel="0" collapsed="false">
      <c r="A18" s="12" t="s">
        <v>75</v>
      </c>
      <c r="B18" s="13" t="s">
        <v>76</v>
      </c>
      <c r="C18" s="13" t="s">
        <v>77</v>
      </c>
      <c r="D18" s="13" t="s">
        <v>46</v>
      </c>
    </row>
    <row r="19" customFormat="false" ht="18.8" hidden="false" customHeight="true" outlineLevel="0" collapsed="false">
      <c r="A19" s="12" t="s">
        <v>78</v>
      </c>
      <c r="B19" s="13" t="s">
        <v>79</v>
      </c>
      <c r="C19" s="13" t="s">
        <v>80</v>
      </c>
      <c r="D19" s="13" t="s">
        <v>46</v>
      </c>
    </row>
    <row r="20" customFormat="false" ht="18.8" hidden="false" customHeight="true" outlineLevel="0" collapsed="false">
      <c r="A20" s="10" t="s">
        <v>81</v>
      </c>
      <c r="B20" s="11" t="s">
        <v>82</v>
      </c>
      <c r="C20" s="11" t="s">
        <v>77</v>
      </c>
      <c r="D20" s="11" t="s">
        <v>40</v>
      </c>
    </row>
    <row r="21" customFormat="false" ht="18.8" hidden="false" customHeight="true" outlineLevel="0" collapsed="false">
      <c r="A21" s="10" t="s">
        <v>83</v>
      </c>
      <c r="B21" s="11" t="s">
        <v>84</v>
      </c>
      <c r="C21" s="11" t="s">
        <v>85</v>
      </c>
      <c r="D21" s="11" t="s">
        <v>40</v>
      </c>
    </row>
    <row r="22" customFormat="false" ht="18.8" hidden="false" customHeight="true" outlineLevel="0" collapsed="false">
      <c r="A22" s="12" t="s">
        <v>86</v>
      </c>
      <c r="B22" s="13" t="s">
        <v>87</v>
      </c>
      <c r="C22" s="13" t="s">
        <v>68</v>
      </c>
      <c r="D22" s="13" t="s">
        <v>46</v>
      </c>
    </row>
    <row r="23" customFormat="false" ht="18.8" hidden="false" customHeight="true" outlineLevel="0" collapsed="false">
      <c r="A23" s="12" t="s">
        <v>88</v>
      </c>
      <c r="B23" s="13" t="s">
        <v>89</v>
      </c>
      <c r="C23" s="13" t="s">
        <v>90</v>
      </c>
      <c r="D23" s="13" t="s">
        <v>46</v>
      </c>
    </row>
    <row r="24" customFormat="false" ht="18.8" hidden="false" customHeight="true" outlineLevel="0" collapsed="false">
      <c r="A24" s="10" t="s">
        <v>91</v>
      </c>
      <c r="B24" s="11" t="s">
        <v>92</v>
      </c>
      <c r="C24" s="11" t="s">
        <v>74</v>
      </c>
      <c r="D24" s="11"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4" activeCellId="0" sqref="E4"/>
    </sheetView>
  </sheetViews>
  <sheetFormatPr defaultColWidth="8.453125" defaultRowHeight="15" customHeight="false" zeroHeight="false" outlineLevelRow="0" outlineLevelCol="0"/>
  <cols>
    <col collapsed="false" customWidth="true" hidden="false" outlineLevel="0" max="1" min="1" style="1" width="9"/>
    <col collapsed="false" customWidth="true" hidden="false" outlineLevel="0" max="2" min="2" style="1" width="22"/>
    <col collapsed="false" customWidth="true" hidden="false" outlineLevel="0" max="3" min="3" style="1" width="42"/>
    <col collapsed="false" customWidth="true" hidden="false" outlineLevel="0" max="4" min="4" style="1" width="20"/>
    <col collapsed="false" customWidth="true" hidden="false" outlineLevel="0" max="6" min="5" style="1" width="62"/>
    <col collapsed="false" customWidth="true" hidden="false" outlineLevel="0" max="7" min="7" style="1" width="52"/>
    <col collapsed="false" customWidth="true" hidden="false" outlineLevel="0" max="8" min="8" style="1" width="16"/>
    <col collapsed="false" customWidth="true" hidden="false" outlineLevel="0" max="9" min="9" style="1" width="10"/>
    <col collapsed="false" customWidth="true" hidden="false" outlineLevel="0" max="10" min="10" style="1" width="16"/>
    <col collapsed="false" customWidth="true" hidden="false" outlineLevel="0" max="11" min="11" style="1" width="30"/>
    <col collapsed="false" customWidth="true" hidden="false" outlineLevel="0" max="12" min="12" style="1" width="20"/>
    <col collapsed="false" customWidth="true" hidden="false" outlineLevel="0" max="13" min="13" style="1" width="12"/>
    <col collapsed="false" customWidth="true" hidden="false" outlineLevel="0" max="14" min="14" style="1" width="46"/>
  </cols>
  <sheetData>
    <row r="1" customFormat="false" ht="15" hidden="false" customHeight="true" outlineLevel="0" collapsed="false">
      <c r="A1" s="18" t="s">
        <v>34</v>
      </c>
      <c r="B1" s="18" t="s">
        <v>93</v>
      </c>
      <c r="C1" s="18" t="s">
        <v>35</v>
      </c>
      <c r="D1" s="18" t="s">
        <v>36</v>
      </c>
      <c r="E1" s="18" t="s">
        <v>94</v>
      </c>
      <c r="F1" s="18" t="s">
        <v>95</v>
      </c>
      <c r="G1" s="18" t="s">
        <v>96</v>
      </c>
      <c r="H1" s="18" t="s">
        <v>15</v>
      </c>
      <c r="I1" s="18" t="s">
        <v>26</v>
      </c>
      <c r="J1" s="18" t="s">
        <v>97</v>
      </c>
      <c r="K1" s="18" t="s">
        <v>98</v>
      </c>
      <c r="L1" s="18" t="s">
        <v>99</v>
      </c>
      <c r="M1" s="18" t="s">
        <v>100</v>
      </c>
      <c r="N1" s="18" t="s">
        <v>101</v>
      </c>
    </row>
    <row r="2" customFormat="false" ht="108" hidden="false" customHeight="true" outlineLevel="0" collapsed="false">
      <c r="A2" s="19" t="s">
        <v>102</v>
      </c>
      <c r="B2" s="20" t="s">
        <v>103</v>
      </c>
      <c r="C2" s="20" t="s">
        <v>38</v>
      </c>
      <c r="D2" s="20" t="s">
        <v>39</v>
      </c>
      <c r="E2" s="20" t="s">
        <v>104</v>
      </c>
      <c r="F2" s="20" t="s">
        <v>105</v>
      </c>
      <c r="G2" s="20" t="s">
        <v>106</v>
      </c>
      <c r="H2" s="20" t="s">
        <v>107</v>
      </c>
      <c r="I2" s="20" t="s">
        <v>40</v>
      </c>
      <c r="J2" s="20" t="s">
        <v>18</v>
      </c>
      <c r="K2" s="20" t="s">
        <v>108</v>
      </c>
      <c r="L2" s="20"/>
      <c r="M2" s="20" t="s">
        <v>9</v>
      </c>
      <c r="N2" s="20" t="s">
        <v>109</v>
      </c>
    </row>
    <row r="3" customFormat="false" ht="108" hidden="false" customHeight="true" outlineLevel="0" collapsed="false">
      <c r="A3" s="19" t="s">
        <v>110</v>
      </c>
      <c r="B3" s="20" t="s">
        <v>111</v>
      </c>
      <c r="C3" s="20" t="s">
        <v>42</v>
      </c>
      <c r="D3" s="20" t="s">
        <v>43</v>
      </c>
      <c r="E3" s="20" t="s">
        <v>112</v>
      </c>
      <c r="F3" s="20" t="s">
        <v>113</v>
      </c>
      <c r="G3" s="20" t="s">
        <v>114</v>
      </c>
      <c r="H3" s="20" t="s">
        <v>107</v>
      </c>
      <c r="I3" s="20" t="s">
        <v>40</v>
      </c>
      <c r="J3" s="20" t="s">
        <v>18</v>
      </c>
      <c r="K3" s="20" t="s">
        <v>108</v>
      </c>
      <c r="L3" s="20" t="s">
        <v>102</v>
      </c>
      <c r="M3" s="20" t="s">
        <v>9</v>
      </c>
      <c r="N3" s="20" t="s">
        <v>115</v>
      </c>
    </row>
    <row r="4" customFormat="false" ht="108" hidden="false" customHeight="true" outlineLevel="0" collapsed="false">
      <c r="A4" s="19" t="s">
        <v>116</v>
      </c>
      <c r="B4" s="20" t="s">
        <v>117</v>
      </c>
      <c r="C4" s="20" t="s">
        <v>45</v>
      </c>
      <c r="D4" s="20" t="s">
        <v>43</v>
      </c>
      <c r="E4" s="20" t="s">
        <v>118</v>
      </c>
      <c r="F4" s="20" t="s">
        <v>119</v>
      </c>
      <c r="G4" s="20" t="s">
        <v>120</v>
      </c>
      <c r="H4" s="20" t="s">
        <v>107</v>
      </c>
      <c r="I4" s="20" t="s">
        <v>46</v>
      </c>
      <c r="J4" s="20" t="s">
        <v>18</v>
      </c>
      <c r="K4" s="20" t="s">
        <v>108</v>
      </c>
      <c r="L4" s="20" t="s">
        <v>102</v>
      </c>
      <c r="M4" s="20" t="s">
        <v>9</v>
      </c>
      <c r="N4" s="20" t="s">
        <v>121</v>
      </c>
    </row>
    <row r="5" customFormat="false" ht="108" hidden="false" customHeight="true" outlineLevel="0" collapsed="false">
      <c r="A5" s="19" t="s">
        <v>122</v>
      </c>
      <c r="B5" s="20" t="s">
        <v>123</v>
      </c>
      <c r="C5" s="20" t="s">
        <v>48</v>
      </c>
      <c r="D5" s="20" t="s">
        <v>39</v>
      </c>
      <c r="E5" s="20" t="s">
        <v>124</v>
      </c>
      <c r="F5" s="20" t="s">
        <v>125</v>
      </c>
      <c r="G5" s="20" t="s">
        <v>126</v>
      </c>
      <c r="H5" s="20" t="s">
        <v>107</v>
      </c>
      <c r="I5" s="20" t="s">
        <v>46</v>
      </c>
      <c r="J5" s="20" t="s">
        <v>18</v>
      </c>
      <c r="K5" s="20" t="s">
        <v>108</v>
      </c>
      <c r="L5" s="20" t="s">
        <v>102</v>
      </c>
      <c r="M5" s="20" t="s">
        <v>9</v>
      </c>
      <c r="N5" s="20" t="s">
        <v>127</v>
      </c>
    </row>
    <row r="6" customFormat="false" ht="108" hidden="false" customHeight="true" outlineLevel="0" collapsed="false">
      <c r="A6" s="19" t="s">
        <v>128</v>
      </c>
      <c r="B6" s="20" t="s">
        <v>129</v>
      </c>
      <c r="C6" s="20" t="s">
        <v>50</v>
      </c>
      <c r="D6" s="20" t="s">
        <v>51</v>
      </c>
      <c r="E6" s="20" t="s">
        <v>130</v>
      </c>
      <c r="F6" s="20" t="s">
        <v>131</v>
      </c>
      <c r="G6" s="20" t="s">
        <v>132</v>
      </c>
      <c r="H6" s="20" t="s">
        <v>107</v>
      </c>
      <c r="I6" s="20" t="s">
        <v>52</v>
      </c>
      <c r="J6" s="20" t="s">
        <v>133</v>
      </c>
      <c r="K6" s="20" t="s">
        <v>134</v>
      </c>
      <c r="L6" s="20"/>
      <c r="M6" s="20" t="s">
        <v>9</v>
      </c>
      <c r="N6" s="20" t="s">
        <v>135</v>
      </c>
    </row>
    <row r="7" customFormat="false" ht="108" hidden="false" customHeight="true" outlineLevel="0" collapsed="false">
      <c r="A7" s="19" t="s">
        <v>136</v>
      </c>
      <c r="B7" s="20" t="s">
        <v>137</v>
      </c>
      <c r="C7" s="20" t="s">
        <v>54</v>
      </c>
      <c r="D7" s="20" t="s">
        <v>55</v>
      </c>
      <c r="E7" s="20" t="s">
        <v>138</v>
      </c>
      <c r="F7" s="20" t="s">
        <v>139</v>
      </c>
      <c r="G7" s="20" t="s">
        <v>140</v>
      </c>
      <c r="H7" s="20" t="s">
        <v>107</v>
      </c>
      <c r="I7" s="20" t="s">
        <v>40</v>
      </c>
      <c r="J7" s="20" t="s">
        <v>18</v>
      </c>
      <c r="K7" s="20" t="s">
        <v>108</v>
      </c>
      <c r="L7" s="20"/>
      <c r="M7" s="20" t="s">
        <v>9</v>
      </c>
      <c r="N7" s="20" t="s">
        <v>141</v>
      </c>
    </row>
    <row r="8" customFormat="false" ht="108" hidden="false" customHeight="true" outlineLevel="0" collapsed="false">
      <c r="A8" s="19" t="s">
        <v>142</v>
      </c>
      <c r="B8" s="20" t="s">
        <v>143</v>
      </c>
      <c r="C8" s="20" t="s">
        <v>57</v>
      </c>
      <c r="D8" s="20" t="s">
        <v>39</v>
      </c>
      <c r="E8" s="20" t="s">
        <v>144</v>
      </c>
      <c r="F8" s="20" t="s">
        <v>145</v>
      </c>
      <c r="G8" s="20" t="s">
        <v>146</v>
      </c>
      <c r="H8" s="20" t="s">
        <v>147</v>
      </c>
      <c r="I8" s="20" t="s">
        <v>46</v>
      </c>
      <c r="J8" s="20" t="s">
        <v>18</v>
      </c>
      <c r="K8" s="20" t="s">
        <v>108</v>
      </c>
      <c r="L8" s="20" t="s">
        <v>136</v>
      </c>
      <c r="M8" s="20" t="s">
        <v>9</v>
      </c>
      <c r="N8" s="20" t="s">
        <v>148</v>
      </c>
    </row>
    <row r="9" customFormat="false" ht="108" hidden="false" customHeight="true" outlineLevel="0" collapsed="false">
      <c r="A9" s="19" t="s">
        <v>149</v>
      </c>
      <c r="B9" s="20" t="s">
        <v>150</v>
      </c>
      <c r="C9" s="20" t="s">
        <v>59</v>
      </c>
      <c r="D9" s="20" t="s">
        <v>51</v>
      </c>
      <c r="E9" s="20" t="s">
        <v>151</v>
      </c>
      <c r="F9" s="20" t="s">
        <v>152</v>
      </c>
      <c r="G9" s="20" t="s">
        <v>153</v>
      </c>
      <c r="H9" s="20" t="s">
        <v>107</v>
      </c>
      <c r="I9" s="20" t="s">
        <v>52</v>
      </c>
      <c r="J9" s="20" t="s">
        <v>133</v>
      </c>
      <c r="K9" s="20" t="s">
        <v>154</v>
      </c>
      <c r="L9" s="20"/>
      <c r="M9" s="20" t="s">
        <v>9</v>
      </c>
      <c r="N9" s="20" t="s">
        <v>135</v>
      </c>
    </row>
    <row r="10" customFormat="false" ht="108" hidden="false" customHeight="true" outlineLevel="0" collapsed="false">
      <c r="A10" s="19" t="s">
        <v>155</v>
      </c>
      <c r="B10" s="20" t="s">
        <v>156</v>
      </c>
      <c r="C10" s="20" t="s">
        <v>61</v>
      </c>
      <c r="D10" s="20" t="s">
        <v>62</v>
      </c>
      <c r="E10" s="20" t="s">
        <v>157</v>
      </c>
      <c r="F10" s="20" t="s">
        <v>158</v>
      </c>
      <c r="G10" s="20" t="s">
        <v>159</v>
      </c>
      <c r="H10" s="20" t="s">
        <v>107</v>
      </c>
      <c r="I10" s="20" t="s">
        <v>46</v>
      </c>
      <c r="J10" s="20" t="s">
        <v>18</v>
      </c>
      <c r="K10" s="20" t="s">
        <v>160</v>
      </c>
      <c r="L10" s="20"/>
      <c r="M10" s="20" t="s">
        <v>9</v>
      </c>
      <c r="N10" s="20" t="s">
        <v>161</v>
      </c>
    </row>
    <row r="11" customFormat="false" ht="108" hidden="false" customHeight="true" outlineLevel="0" collapsed="false">
      <c r="A11" s="19" t="s">
        <v>63</v>
      </c>
      <c r="B11" s="20" t="s">
        <v>162</v>
      </c>
      <c r="C11" s="20" t="s">
        <v>64</v>
      </c>
      <c r="D11" s="20" t="s">
        <v>65</v>
      </c>
      <c r="E11" s="20" t="s">
        <v>163</v>
      </c>
      <c r="F11" s="20" t="s">
        <v>164</v>
      </c>
      <c r="G11" s="20" t="s">
        <v>165</v>
      </c>
      <c r="H11" s="20" t="s">
        <v>147</v>
      </c>
      <c r="I11" s="20" t="s">
        <v>40</v>
      </c>
      <c r="J11" s="20" t="s">
        <v>18</v>
      </c>
      <c r="K11" s="20" t="s">
        <v>160</v>
      </c>
      <c r="L11" s="20"/>
      <c r="M11" s="20" t="s">
        <v>9</v>
      </c>
      <c r="N11" s="20" t="s">
        <v>148</v>
      </c>
    </row>
    <row r="12" customFormat="false" ht="108" hidden="false" customHeight="true" outlineLevel="0" collapsed="false">
      <c r="A12" s="19" t="s">
        <v>66</v>
      </c>
      <c r="B12" s="20" t="s">
        <v>166</v>
      </c>
      <c r="C12" s="20" t="s">
        <v>67</v>
      </c>
      <c r="D12" s="20" t="s">
        <v>68</v>
      </c>
      <c r="E12" s="20" t="s">
        <v>167</v>
      </c>
      <c r="F12" s="20" t="s">
        <v>168</v>
      </c>
      <c r="G12" s="20" t="s">
        <v>169</v>
      </c>
      <c r="H12" s="20" t="s">
        <v>147</v>
      </c>
      <c r="I12" s="20" t="s">
        <v>69</v>
      </c>
      <c r="J12" s="20" t="s">
        <v>18</v>
      </c>
      <c r="K12" s="20" t="s">
        <v>160</v>
      </c>
      <c r="L12" s="20"/>
      <c r="M12" s="20" t="s">
        <v>9</v>
      </c>
      <c r="N12" s="20" t="s">
        <v>170</v>
      </c>
    </row>
    <row r="13" customFormat="false" ht="108" hidden="false" customHeight="true" outlineLevel="0" collapsed="false">
      <c r="A13" s="19" t="s">
        <v>70</v>
      </c>
      <c r="B13" s="20" t="s">
        <v>171</v>
      </c>
      <c r="C13" s="20" t="s">
        <v>71</v>
      </c>
      <c r="D13" s="20" t="s">
        <v>62</v>
      </c>
      <c r="E13" s="20" t="s">
        <v>172</v>
      </c>
      <c r="F13" s="20" t="s">
        <v>173</v>
      </c>
      <c r="G13" s="20" t="s">
        <v>174</v>
      </c>
      <c r="H13" s="20" t="s">
        <v>147</v>
      </c>
      <c r="I13" s="20" t="s">
        <v>46</v>
      </c>
      <c r="J13" s="20" t="s">
        <v>18</v>
      </c>
      <c r="K13" s="20" t="s">
        <v>160</v>
      </c>
      <c r="L13" s="20"/>
      <c r="M13" s="20" t="s">
        <v>9</v>
      </c>
      <c r="N13" s="20"/>
    </row>
    <row r="14" customFormat="false" ht="108" hidden="false" customHeight="true" outlineLevel="0" collapsed="false">
      <c r="A14" s="12" t="s">
        <v>72</v>
      </c>
      <c r="B14" s="13" t="s">
        <v>175</v>
      </c>
      <c r="C14" s="13" t="s">
        <v>73</v>
      </c>
      <c r="D14" s="13" t="s">
        <v>74</v>
      </c>
      <c r="E14" s="13" t="s">
        <v>176</v>
      </c>
      <c r="F14" s="13" t="s">
        <v>177</v>
      </c>
      <c r="G14" s="13" t="s">
        <v>178</v>
      </c>
      <c r="H14" s="13" t="s">
        <v>147</v>
      </c>
      <c r="I14" s="13" t="s">
        <v>46</v>
      </c>
      <c r="J14" s="13" t="s">
        <v>22</v>
      </c>
      <c r="K14" s="13" t="s">
        <v>179</v>
      </c>
      <c r="L14" s="13"/>
      <c r="M14" s="13" t="s">
        <v>9</v>
      </c>
      <c r="N14" s="13" t="s">
        <v>180</v>
      </c>
    </row>
    <row r="15" customFormat="false" ht="108" hidden="false" customHeight="true" outlineLevel="0" collapsed="false">
      <c r="A15" s="19" t="s">
        <v>75</v>
      </c>
      <c r="B15" s="20" t="s">
        <v>181</v>
      </c>
      <c r="C15" s="20" t="s">
        <v>76</v>
      </c>
      <c r="D15" s="20" t="s">
        <v>77</v>
      </c>
      <c r="E15" s="20" t="s">
        <v>182</v>
      </c>
      <c r="F15" s="20" t="s">
        <v>183</v>
      </c>
      <c r="G15" s="20" t="s">
        <v>184</v>
      </c>
      <c r="H15" s="20" t="s">
        <v>107</v>
      </c>
      <c r="I15" s="20" t="s">
        <v>46</v>
      </c>
      <c r="J15" s="20" t="s">
        <v>18</v>
      </c>
      <c r="K15" s="20" t="s">
        <v>185</v>
      </c>
      <c r="L15" s="20"/>
      <c r="M15" s="20" t="s">
        <v>9</v>
      </c>
      <c r="N15" s="20" t="s">
        <v>186</v>
      </c>
    </row>
    <row r="16" customFormat="false" ht="108" hidden="false" customHeight="true" outlineLevel="0" collapsed="false">
      <c r="A16" s="19" t="s">
        <v>78</v>
      </c>
      <c r="B16" s="20" t="s">
        <v>187</v>
      </c>
      <c r="C16" s="20" t="s">
        <v>79</v>
      </c>
      <c r="D16" s="20" t="s">
        <v>80</v>
      </c>
      <c r="E16" s="20" t="s">
        <v>188</v>
      </c>
      <c r="F16" s="20" t="s">
        <v>189</v>
      </c>
      <c r="G16" s="20" t="s">
        <v>190</v>
      </c>
      <c r="H16" s="20" t="s">
        <v>147</v>
      </c>
      <c r="I16" s="20" t="s">
        <v>46</v>
      </c>
      <c r="J16" s="20" t="s">
        <v>18</v>
      </c>
      <c r="K16" s="20" t="s">
        <v>185</v>
      </c>
      <c r="L16" s="20"/>
      <c r="M16" s="20" t="s">
        <v>9</v>
      </c>
      <c r="N16" s="20"/>
    </row>
    <row r="17" customFormat="false" ht="120" hidden="false" customHeight="true" outlineLevel="0" collapsed="false">
      <c r="A17" s="19" t="s">
        <v>81</v>
      </c>
      <c r="B17" s="20" t="s">
        <v>191</v>
      </c>
      <c r="C17" s="20" t="s">
        <v>82</v>
      </c>
      <c r="D17" s="20" t="s">
        <v>77</v>
      </c>
      <c r="E17" s="20" t="s">
        <v>192</v>
      </c>
      <c r="F17" s="20" t="s">
        <v>193</v>
      </c>
      <c r="G17" s="20" t="s">
        <v>194</v>
      </c>
      <c r="H17" s="20" t="s">
        <v>107</v>
      </c>
      <c r="I17" s="20" t="s">
        <v>40</v>
      </c>
      <c r="J17" s="20" t="s">
        <v>18</v>
      </c>
      <c r="K17" s="20" t="s">
        <v>195</v>
      </c>
      <c r="L17" s="20"/>
      <c r="M17" s="20" t="s">
        <v>9</v>
      </c>
      <c r="N17" s="20" t="s">
        <v>196</v>
      </c>
    </row>
    <row r="18" customFormat="false" ht="120" hidden="false" customHeight="true" outlineLevel="0" collapsed="false">
      <c r="A18" s="19" t="s">
        <v>83</v>
      </c>
      <c r="B18" s="20" t="s">
        <v>197</v>
      </c>
      <c r="C18" s="20" t="s">
        <v>84</v>
      </c>
      <c r="D18" s="20" t="s">
        <v>85</v>
      </c>
      <c r="E18" s="20" t="s">
        <v>198</v>
      </c>
      <c r="F18" s="20" t="s">
        <v>199</v>
      </c>
      <c r="G18" s="20" t="s">
        <v>200</v>
      </c>
      <c r="H18" s="20" t="s">
        <v>147</v>
      </c>
      <c r="I18" s="20" t="s">
        <v>40</v>
      </c>
      <c r="J18" s="20" t="s">
        <v>18</v>
      </c>
      <c r="K18" s="20" t="s">
        <v>154</v>
      </c>
      <c r="L18" s="20"/>
      <c r="M18" s="20" t="s">
        <v>9</v>
      </c>
      <c r="N18" s="20" t="s">
        <v>201</v>
      </c>
    </row>
    <row r="19" customFormat="false" ht="120" hidden="false" customHeight="true" outlineLevel="0" collapsed="false">
      <c r="A19" s="19" t="s">
        <v>86</v>
      </c>
      <c r="B19" s="20" t="s">
        <v>202</v>
      </c>
      <c r="C19" s="20" t="s">
        <v>87</v>
      </c>
      <c r="D19" s="20" t="s">
        <v>68</v>
      </c>
      <c r="E19" s="20" t="s">
        <v>203</v>
      </c>
      <c r="F19" s="20" t="s">
        <v>204</v>
      </c>
      <c r="G19" s="20" t="s">
        <v>205</v>
      </c>
      <c r="H19" s="20" t="s">
        <v>147</v>
      </c>
      <c r="I19" s="20" t="s">
        <v>46</v>
      </c>
      <c r="J19" s="20" t="s">
        <v>18</v>
      </c>
      <c r="K19" s="20" t="s">
        <v>160</v>
      </c>
      <c r="L19" s="20"/>
      <c r="M19" s="20" t="s">
        <v>9</v>
      </c>
      <c r="N19" s="20" t="s">
        <v>115</v>
      </c>
    </row>
    <row r="20" customFormat="false" ht="120" hidden="false" customHeight="true" outlineLevel="0" collapsed="false">
      <c r="A20" s="19" t="s">
        <v>88</v>
      </c>
      <c r="B20" s="20" t="s">
        <v>206</v>
      </c>
      <c r="C20" s="20" t="s">
        <v>89</v>
      </c>
      <c r="D20" s="20" t="s">
        <v>90</v>
      </c>
      <c r="E20" s="20" t="s">
        <v>207</v>
      </c>
      <c r="F20" s="20" t="s">
        <v>208</v>
      </c>
      <c r="G20" s="20" t="s">
        <v>209</v>
      </c>
      <c r="H20" s="20" t="s">
        <v>107</v>
      </c>
      <c r="I20" s="20" t="s">
        <v>46</v>
      </c>
      <c r="J20" s="20" t="s">
        <v>18</v>
      </c>
      <c r="K20" s="20" t="s">
        <v>210</v>
      </c>
      <c r="L20" s="20"/>
      <c r="M20" s="20" t="s">
        <v>9</v>
      </c>
      <c r="N20" s="20" t="s">
        <v>211</v>
      </c>
    </row>
    <row r="21" customFormat="false" ht="120" hidden="false" customHeight="true" outlineLevel="0" collapsed="false">
      <c r="A21" s="19" t="s">
        <v>91</v>
      </c>
      <c r="B21" s="20" t="s">
        <v>212</v>
      </c>
      <c r="C21" s="20" t="s">
        <v>92</v>
      </c>
      <c r="D21" s="20" t="s">
        <v>74</v>
      </c>
      <c r="E21" s="20" t="s">
        <v>213</v>
      </c>
      <c r="F21" s="20" t="s">
        <v>214</v>
      </c>
      <c r="G21" s="20" t="s">
        <v>215</v>
      </c>
      <c r="H21" s="20" t="s">
        <v>147</v>
      </c>
      <c r="I21" s="20" t="s">
        <v>40</v>
      </c>
      <c r="J21" s="20" t="s">
        <v>18</v>
      </c>
      <c r="K21" s="20" t="s">
        <v>108</v>
      </c>
      <c r="L21" s="20"/>
      <c r="M21" s="20" t="s">
        <v>9</v>
      </c>
      <c r="N21" s="20" t="s">
        <v>216</v>
      </c>
    </row>
  </sheetData>
  <autoFilter ref="A1:N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5" customHeight="false"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3" min="3" style="1" width="14"/>
    <col collapsed="false" customWidth="true" hidden="false" outlineLevel="0" max="4" min="4" style="1" width="20"/>
  </cols>
  <sheetData>
    <row r="1" customFormat="false" ht="17.25" hidden="false" customHeight="true" outlineLevel="0" collapsed="false">
      <c r="A1" s="7" t="s">
        <v>217</v>
      </c>
    </row>
    <row r="3" customFormat="false" ht="15" hidden="false" customHeight="true" outlineLevel="0" collapsed="false">
      <c r="A3" s="9" t="s">
        <v>98</v>
      </c>
      <c r="B3" s="9" t="s">
        <v>93</v>
      </c>
      <c r="C3" s="9" t="s">
        <v>97</v>
      </c>
      <c r="D3" s="9" t="s">
        <v>218</v>
      </c>
    </row>
    <row r="4" customFormat="false" ht="15" hidden="false" customHeight="true" outlineLevel="0" collapsed="false">
      <c r="A4" s="21" t="s">
        <v>219</v>
      </c>
      <c r="B4" s="21" t="s">
        <v>220</v>
      </c>
      <c r="C4" s="21" t="s">
        <v>221</v>
      </c>
      <c r="D4" s="21" t="n">
        <v>0</v>
      </c>
    </row>
    <row r="5" customFormat="false" ht="15" hidden="false" customHeight="true" outlineLevel="0" collapsed="false">
      <c r="A5" s="21" t="s">
        <v>108</v>
      </c>
      <c r="B5" s="21" t="s">
        <v>222</v>
      </c>
      <c r="C5" s="21" t="s">
        <v>221</v>
      </c>
      <c r="D5" s="21" t="n">
        <v>24</v>
      </c>
    </row>
    <row r="6" customFormat="false" ht="15" hidden="false" customHeight="true" outlineLevel="0" collapsed="false">
      <c r="A6" s="21" t="s">
        <v>160</v>
      </c>
      <c r="B6" s="21" t="s">
        <v>223</v>
      </c>
      <c r="C6" s="21" t="s">
        <v>221</v>
      </c>
      <c r="D6" s="21" t="n">
        <v>6</v>
      </c>
    </row>
    <row r="7" customFormat="false" ht="15" hidden="false" customHeight="true" outlineLevel="0" collapsed="false">
      <c r="A7" s="21" t="s">
        <v>179</v>
      </c>
      <c r="B7" s="21" t="s">
        <v>224</v>
      </c>
      <c r="C7" s="21" t="s">
        <v>221</v>
      </c>
      <c r="D7" s="21" t="n">
        <v>6</v>
      </c>
    </row>
    <row r="8" customFormat="false" ht="15" hidden="false" customHeight="true" outlineLevel="0" collapsed="false">
      <c r="A8" s="21" t="s">
        <v>185</v>
      </c>
      <c r="B8" s="21" t="s">
        <v>225</v>
      </c>
      <c r="C8" s="21" t="s">
        <v>221</v>
      </c>
      <c r="D8" s="21" t="n">
        <v>6</v>
      </c>
    </row>
    <row r="9" customFormat="false" ht="15" hidden="false" customHeight="true" outlineLevel="0" collapsed="false">
      <c r="A9" s="21" t="s">
        <v>134</v>
      </c>
      <c r="B9" s="21" t="s">
        <v>226</v>
      </c>
      <c r="C9" s="21" t="s">
        <v>227</v>
      </c>
      <c r="D9" s="21" t="n">
        <v>17</v>
      </c>
    </row>
    <row r="10" customFormat="false" ht="15" hidden="false" customHeight="true" outlineLevel="0" collapsed="false">
      <c r="A10" s="21" t="s">
        <v>195</v>
      </c>
      <c r="B10" s="21" t="s">
        <v>228</v>
      </c>
      <c r="C10" s="21" t="s">
        <v>221</v>
      </c>
      <c r="D10" s="21" t="n">
        <v>6</v>
      </c>
    </row>
    <row r="11" customFormat="false" ht="15" hidden="false" customHeight="true" outlineLevel="0" collapsed="false">
      <c r="A11" s="21" t="s">
        <v>154</v>
      </c>
      <c r="B11" s="21" t="s">
        <v>229</v>
      </c>
      <c r="C11" s="21" t="s">
        <v>221</v>
      </c>
      <c r="D11" s="21" t="n">
        <v>5</v>
      </c>
    </row>
    <row r="12" customFormat="false" ht="15" hidden="false" customHeight="true" outlineLevel="0" collapsed="false">
      <c r="A12" s="21" t="s">
        <v>210</v>
      </c>
      <c r="B12" s="21" t="s">
        <v>230</v>
      </c>
      <c r="C12" s="21" t="s">
        <v>221</v>
      </c>
      <c r="D12" s="21" t="n">
        <v>4</v>
      </c>
    </row>
    <row r="13" customFormat="false" ht="15" hidden="false" customHeight="true" outlineLevel="0" collapsed="false">
      <c r="A13" s="22" t="s">
        <v>231</v>
      </c>
      <c r="B13" s="23"/>
      <c r="C13" s="23"/>
      <c r="D13" s="22" t="n">
        <f aca="false">SUM(D4:D12)</f>
        <v>74</v>
      </c>
    </row>
    <row r="15" customFormat="false" ht="15" hidden="false" customHeight="true" outlineLevel="0" collapsed="false">
      <c r="A15" s="24" t="s">
        <v>232</v>
      </c>
    </row>
    <row r="16" customFormat="false" ht="15" hidden="false" customHeight="true" outlineLevel="0" collapsed="false">
      <c r="A16" s="25" t="s">
        <v>233</v>
      </c>
      <c r="B16" s="26" t="n">
        <f aca="false">COUNTA(Incidents!A2:A21)</f>
        <v>20</v>
      </c>
    </row>
    <row r="17" customFormat="false" ht="15" hidden="false" customHeight="true" outlineLevel="0" collapsed="false">
      <c r="A17" s="25" t="s">
        <v>107</v>
      </c>
      <c r="B17" s="26" t="n">
        <f aca="false">COUNTIF(Incidents!H2:H21,"Machine-evaluated")</f>
        <v>11</v>
      </c>
    </row>
    <row r="18" customFormat="false" ht="15" hidden="false" customHeight="true" outlineLevel="0" collapsed="false">
      <c r="A18" s="25" t="s">
        <v>234</v>
      </c>
      <c r="B18" s="26" t="n">
        <f aca="false">COUNTIF(Incidents!H2:H21,"Reasoned")</f>
        <v>9</v>
      </c>
    </row>
    <row r="19" customFormat="false" ht="15" hidden="false" customHeight="true" outlineLevel="0" collapsed="false">
      <c r="A19" s="25" t="s">
        <v>235</v>
      </c>
      <c r="B19" s="26" t="n">
        <f aca="false">COUNTIF(Incidents!I2:I21,"High")</f>
        <v>7</v>
      </c>
    </row>
    <row r="20" customFormat="false" ht="15" hidden="false" customHeight="true" outlineLevel="0" collapsed="false">
      <c r="A20" s="25" t="s">
        <v>236</v>
      </c>
      <c r="B20" s="26" t="n">
        <f aca="false">COUNTIF(Incidents!I2:I21,"Medium")</f>
        <v>10</v>
      </c>
    </row>
    <row r="21" customFormat="false" ht="15" hidden="false" customHeight="true" outlineLevel="0" collapsed="false">
      <c r="A21" s="25" t="s">
        <v>237</v>
      </c>
      <c r="B21" s="26" t="n">
        <f aca="false">COUNTIF(Incidents!I2:I21,"Low")</f>
        <v>1</v>
      </c>
    </row>
    <row r="22" customFormat="false" ht="15" hidden="false" customHeight="true" outlineLevel="0" collapsed="false">
      <c r="A22" s="25" t="s">
        <v>238</v>
      </c>
      <c r="B22" s="26" t="n">
        <f aca="false">COUNTIF(Incidents!J2:J21,"Open")</f>
        <v>17</v>
      </c>
    </row>
    <row r="23" customFormat="false" ht="15" hidden="false" customHeight="true" outlineLevel="0" collapsed="false">
      <c r="A23" s="25" t="s">
        <v>239</v>
      </c>
      <c r="B23" s="26" t="n">
        <f aca="false">COUNTIF(Incidents!J2:J21,"Not yet encoded")</f>
        <v>0</v>
      </c>
    </row>
    <row r="24" customFormat="false" ht="15" hidden="false" customHeight="true" outlineLevel="0" collapsed="false">
      <c r="A24" s="25" t="s">
        <v>240</v>
      </c>
      <c r="B24" s="26" t="n">
        <f aca="false">COUNTIF(Incidents!J2:J21,"Candidate")</f>
        <v>1</v>
      </c>
    </row>
    <row r="25" customFormat="false" ht="15" hidden="false" customHeight="true" outlineLevel="0" collapsed="false">
      <c r="A25" s="25" t="s">
        <v>241</v>
      </c>
      <c r="B25" s="26" t="n">
        <f aca="false">COUNTIF(Incidents!J2:J21,"Resolved")</f>
        <v>0</v>
      </c>
    </row>
    <row r="26" customFormat="false" ht="15" hidden="false" customHeight="true" outlineLevel="0" collapsed="false">
      <c r="A26" s="25" t="s">
        <v>242</v>
      </c>
      <c r="B26" s="26" t="n">
        <f aca="false">COUNTIF(Incidents!J2:J21,"Verified - no defect")</f>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23</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2026-09-11T06:38:17Z</dcterms:created>
  <dc:creator>openpyxl</dc:creator>
  <dc:description/>
  <dc:language>en-SG</dc:language>
  <cp:lastModifiedBy/>
  <dcterms:modified xsi:type="dcterms:W3CDTF">2026-09-12T14:04:29Z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