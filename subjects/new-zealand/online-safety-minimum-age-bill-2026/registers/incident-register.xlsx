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Incidents" sheetId="2" state="visible" r:id="rId4"/>
    <sheet name="Coverage" sheetId="3" state="visible" r:id="rId5"/>
  </sheets>
  <definedNames>
    <definedName function="false" hidden="true" localSheetId="1" name="_xlnm._FilterDatabase" vbProcedure="false">Incidents!$A$1:$N$11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<sst xmlns="http://schemas.openxmlformats.org/spreadsheetml/2006/main" count="228" uniqueCount="171">
  <si>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</si>
  <si>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</si>
  <si>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</si>
  <si>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</si>
  <si>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</si>
  <si>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</si>
  <si>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</si>
  <si>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</si>
  <si>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</si>
  <si>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</si>
  <si>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</si>
  <si>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</si>
  <si>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</si>
  <si>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</si>
  <si>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</si>
  <si>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</si>
  <si>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</si>
  <si>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</si>
  <si>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</si>
  <si>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</si>
  <si>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</si>
  <si>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</si>
  <si>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</si>
  <si>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</si>
  <si>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</si>
  <si>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</si>
  <si>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</si>
  <si>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</si>
  <si>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</si>
  <si>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</si>
  <si>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</si>
  <si>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</si>
  <si>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ID</t>
  </si>
  <si>
    <t xml:space="preserve">Clauses</t>
  </si>
  <si>
    <t xml:space="preserve">Title</t>
  </si>
  <si>
    <t xml:space="preserve">Category</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</si>
  <si>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</si>
  <si>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</si>
  <si>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</si>
  <si>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</si>
  <si>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</si>
  <si>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</si>
  <si>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</si>
  <si>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</si>
  <si>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OS-001</t>
  </si>
  <si>
    <t xml:space="preserve">cl 5(1)(b), cl 5(2)</t>
  </si>
  <si>
    <t xml:space="preserve">Excluded-service carve-out attaches only to limb (a)</t>
  </si>
  <si>
    <t xml:space="preserve">Scope gap</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</si>
  <si>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</si>
  <si>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</si>
  <si>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</si>
  <si>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</si>
  <si>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High</t>
  </si>
  <si>
    <t xml:space="preserve">part-1-preliminary.l4</t>
  </si>
  <si>
    <t xml:space="preserve">Probe 1</t>
  </si>
  <si>
    <t xml:space="preserve">If intended, under-signposted; if not, a gap.</t>
  </si>
  <si>
    <t xml:space="preserve">OS-002</t>
  </si>
  <si>
    <t xml:space="preserve">cl 34(3)(a)-(i), cll 45-47</t>
  </si>
  <si>
    <t xml:space="preserve">Tier partition over specified liability acts - verified, no defect</t>
  </si>
  <si>
    <t xml:space="preserve">Consistency check</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</si>
  <si>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</si>
  <si>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</si>
  <si>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</si>
  <si>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None</t>
  </si>
  <si>
    <t xml:space="preserve">Verified - no defect</t>
  </si>
  <si>
    <t xml:space="preserve">part-3-subpart-3-remedies.l4</t>
  </si>
  <si>
    <t xml:space="preserve">Probe 2</t>
  </si>
  <si>
    <t xml:space="preserve">Negative result, retained as evidence of coverage.</t>
  </si>
  <si>
    <t xml:space="preserve">OS-003</t>
  </si>
  <si>
    <t xml:space="preserve">cl 6(1), cl 6(2)</t>
  </si>
  <si>
    <t xml:space="preserve">A section 7 designation displaces the company that actually runs the platform</t>
  </si>
  <si>
    <t xml:space="preserve">Liability gap</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</si>
  <si>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</si>
  <si>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</si>
  <si>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</si>
  <si>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</si>
  <si>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</si>
  <si>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OS-004</t>
  </si>
  <si>
    <t xml:space="preserve">cl 7(1)(a), cl 7(1)(b)</t>
  </si>
  <si>
    <t xml:space="preserve">Designation power cannot reach a controller outside both limbs</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</si>
  <si>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</si>
  <si>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</si>
  <si>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</si>
  <si>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</si>
  <si>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Medium</t>
  </si>
  <si>
    <t xml:space="preserve">Probe 3 (second limb)</t>
  </si>
  <si>
    <t xml:space="preserve">OS-005</t>
  </si>
  <si>
    <t xml:space="preserve">cl 5(1)(c), cl 61, cl 62</t>
  </si>
  <si>
    <t xml:space="preserve">Interaction of exemption orders with regulation-added platforms untested</t>
  </si>
  <si>
    <t xml:space="preserve">Scope question</t>
  </si>
  <si>
    <t xml:space="preserve">Three routes bring a service into scope: the cl 5(1)(a) and (b) tests, cl 62 regulations under cl 5(1)(c), and cl 7 designation of an operator. cl 61 exemption orders are the route out.</t>
  </si>
  <si>
    <t xml:space="preserve">Whether an exemption under cl 61 can reach a platform brought into scope by regulations under cl 62, and whether the two can conflict, is not apparent from the text.</t>
  </si>
  <si>
    <t xml:space="preserve">Pending: cll 61-64 are not yet encoded.</t>
  </si>
  <si>
    <t xml:space="preserve">Low</t>
  </si>
  <si>
    <t xml:space="preserve">part-3-subpart-5-other.l4</t>
  </si>
  <si>
    <t xml:space="preserve">Probe 4</t>
  </si>
  <si>
    <t xml:space="preserve">OS-006</t>
  </si>
  <si>
    <t xml:space="preserve">cl 11(1), cl 11(2), cl 11(3)</t>
  </si>
  <si>
    <t xml:space="preserve">The minimum age duty states only which methods fail</t>
  </si>
  <si>
    <t xml:space="preserve">Definitional openness</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</si>
  <si>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</si>
  <si>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</si>
  <si>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</si>
  <si>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</si>
  <si>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</si>
  <si>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</si>
  <si>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OS-007</t>
  </si>
  <si>
    <t xml:space="preserve">cl 16(5), cl 34(3)(f), cl 46</t>
  </si>
  <si>
    <t xml:space="preserve">A duty with no time for performance carries Tier 2 liability</t>
  </si>
  <si>
    <t xml:space="preserve">Deadline omission</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</si>
  <si>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</si>
  <si>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</si>
  <si>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</si>
  <si>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</si>
  <si>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</si>
  <si>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OS-008</t>
  </si>
  <si>
    <t xml:space="preserve">cl 13(3)</t>
  </si>
  <si>
    <t xml:space="preserve">The only duty binding the regulator carries no consequence</t>
  </si>
  <si>
    <t xml:space="preserve">Unenforceable duty</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</si>
  <si>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</si>
  <si>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</si>
  <si>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</si>
  <si>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Probe 7</t>
  </si>
  <si>
    <t xml:space="preserve">Probably deliberate; worth confirming.</t>
  </si>
  <si>
    <t xml:space="preserve">OS-009</t>
  </si>
  <si>
    <t xml:space="preserve">cl 17(1), cl 17(4)</t>
  </si>
  <si>
    <t xml:space="preserve">'Significant change' is defined inclusively</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</si>
  <si>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</si>
  <si>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</si>
  <si>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</si>
  <si>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</si>
  <si>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OS-010</t>
  </si>
  <si>
    <t xml:space="preserve">cl 4 (regulator), cl 20(1), cl 20(2)</t>
  </si>
  <si>
    <t xml:space="preserve">The regulator is the chief executive of the department that wrote the Bill</t>
  </si>
  <si>
    <t xml:space="preserve">Structural</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</si>
  <si>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</si>
  <si>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</si>
  <si>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</si>
  <si>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</si>
  <si>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</si>
  <si>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</si>
  <si>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</si>
  <si>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</si>
  <si>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</si>
  <si>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</si>
  <si>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</si>
  <si>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</si>
  <si>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</si>
  <si>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</si>
  <si>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scaffold</t>
  </si>
  <si>
    <t xml:space="preserve">part-3-subpart-2-enforcement.l4</t>
  </si>
  <si>
    <t xml:space="preserve">cll 24-33</t>
  </si>
  <si>
    <t xml:space="preserve">cll 34-56</t>
  </si>
  <si>
    <t xml:space="preserve">encoded in part</t>
  </si>
  <si>
    <t xml:space="preserve">part-3-subpart-4-offences.l4</t>
  </si>
  <si>
    <t xml:space="preserve">cll 57-60</t>
  </si>
  <si>
    <t xml:space="preserve">cll 61-64</t>
  </si>
  <si>
    <t xml:space="preserve">schedule-1-transitional.l4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</si>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</sst>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b val="true"/>
      <sz val="10"/>
      <color rgb="FFFFFFFF"/>
      <name val="Arial"/>
      <family val="0"/>
      <charset val="1"/>
    </font>
    <font>
      <b val="true"/>
      <sz val="11"/>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7" t="s">
        <v>32</v>
      </c>
      <c r="B1" s="7" t="s">
        <v>33</v>
      </c>
      <c r="C1" s="7" t="s">
        <v>34</v>
      </c>
      <c r="D1" s="7" t="s">
        <v>35</v>
      </c>
      <c r="E1" s="7" t="s">
        <v>36</v>
      </c>
      <c r="F1" s="7" t="s">
        <v>37</v>
      </c>
      <c r="G1" s="7" t="s">
        <v>38</v>
      </c>
      <c r="H1" s="7" t="s">
        <v>15</v>
      </c>
      <c r="I1" s="7" t="s">
        <v>26</v>
      </c>
      <c r="J1" s="7" t="s">
        <v>39</v>
      </c>
      <c r="K1" s="7" t="s">
        <v>40</v>
      </c>
      <c r="L1" s="7" t="s">
        <v>41</v>
      </c>
      <c r="M1" s="7" t="s">
        <v>42</v>
      </c>
      <c r="N1" s="7" t="s">
        <v>43</v>
      </c>
    </row>
    <row r="2" customFormat="false" ht="108" hidden="false" customHeight="true" outlineLevel="0" collapsed="false">
      <c r="A2" s="8" t="s">
        <v>44</v>
      </c>
      <c r="B2" s="9" t="s">
        <v>45</v>
      </c>
      <c r="C2" s="9" t="s">
        <v>46</v>
      </c>
      <c r="D2" s="9" t="s">
        <v>47</v>
      </c>
      <c r="E2" s="9" t="s">
        <v>48</v>
      </c>
      <c r="F2" s="9" t="s">
        <v>49</v>
      </c>
      <c r="G2" s="9" t="s">
        <v>50</v>
      </c>
      <c r="H2" s="9" t="s">
        <v>51</v>
      </c>
      <c r="I2" s="9" t="s">
        <v>52</v>
      </c>
      <c r="J2" s="9" t="s">
        <v>18</v>
      </c>
      <c r="K2" s="9" t="s">
        <v>53</v>
      </c>
      <c r="L2" s="9" t="s">
        <v>54</v>
      </c>
      <c r="M2" s="9" t="s">
        <v>9</v>
      </c>
      <c r="N2" s="9" t="s">
        <v>55</v>
      </c>
    </row>
    <row r="3" customFormat="false" ht="108" hidden="false" customHeight="true" outlineLevel="0" collapsed="false">
      <c r="A3" s="8" t="s">
        <v>56</v>
      </c>
      <c r="B3" s="9" t="s">
        <v>57</v>
      </c>
      <c r="C3" s="9" t="s">
        <v>58</v>
      </c>
      <c r="D3" s="9" t="s">
        <v>59</v>
      </c>
      <c r="E3" s="9" t="s">
        <v>60</v>
      </c>
      <c r="F3" s="9" t="s">
        <v>61</v>
      </c>
      <c r="G3" s="9" t="s">
        <v>62</v>
      </c>
      <c r="H3" s="9" t="s">
        <v>51</v>
      </c>
      <c r="I3" s="9" t="s">
        <v>63</v>
      </c>
      <c r="J3" s="9" t="s">
        <v>64</v>
      </c>
      <c r="K3" s="9" t="s">
        <v>65</v>
      </c>
      <c r="L3" s="9" t="s">
        <v>66</v>
      </c>
      <c r="M3" s="9" t="s">
        <v>9</v>
      </c>
      <c r="N3" s="9" t="s">
        <v>67</v>
      </c>
    </row>
    <row r="4" customFormat="false" ht="108" hidden="false" customHeight="true" outlineLevel="0" collapsed="false">
      <c r="A4" s="8" t="s">
        <v>68</v>
      </c>
      <c r="B4" s="9" t="s">
        <v>69</v>
      </c>
      <c r="C4" s="9" t="s">
        <v>70</v>
      </c>
      <c r="D4" s="9" t="s">
        <v>71</v>
      </c>
      <c r="E4" s="9" t="s">
        <v>72</v>
      </c>
      <c r="F4" s="9" t="s">
        <v>73</v>
      </c>
      <c r="G4" s="9" t="s">
        <v>74</v>
      </c>
      <c r="H4" s="9" t="s">
        <v>51</v>
      </c>
      <c r="I4" s="9" t="s">
        <v>52</v>
      </c>
      <c r="J4" s="9" t="s">
        <v>18</v>
      </c>
      <c r="K4" s="9" t="s">
        <v>53</v>
      </c>
      <c r="L4" s="9" t="s">
        <v>75</v>
      </c>
      <c r="M4" s="9" t="s">
        <v>9</v>
      </c>
      <c r="N4" s="9" t="s">
        <v>76</v>
      </c>
    </row>
    <row r="5" customFormat="false" ht="108" hidden="false" customHeight="true" outlineLevel="0" collapsed="false">
      <c r="A5" s="8" t="s">
        <v>77</v>
      </c>
      <c r="B5" s="9" t="s">
        <v>78</v>
      </c>
      <c r="C5" s="9" t="s">
        <v>79</v>
      </c>
      <c r="D5" s="9" t="s">
        <v>47</v>
      </c>
      <c r="E5" s="9" t="s">
        <v>80</v>
      </c>
      <c r="F5" s="9" t="s">
        <v>81</v>
      </c>
      <c r="G5" s="9" t="s">
        <v>82</v>
      </c>
      <c r="H5" s="9" t="s">
        <v>83</v>
      </c>
      <c r="I5" s="9" t="s">
        <v>84</v>
      </c>
      <c r="J5" s="9" t="s">
        <v>18</v>
      </c>
      <c r="K5" s="9" t="s">
        <v>53</v>
      </c>
      <c r="L5" s="9" t="s">
        <v>85</v>
      </c>
      <c r="M5" s="9" t="s">
        <v>9</v>
      </c>
      <c r="N5" s="9"/>
    </row>
    <row r="6" customFormat="false" ht="108" hidden="false" customHeight="true" outlineLevel="0" collapsed="false">
      <c r="A6" s="8" t="s">
        <v>86</v>
      </c>
      <c r="B6" s="9" t="s">
        <v>87</v>
      </c>
      <c r="C6" s="9" t="s">
        <v>88</v>
      </c>
      <c r="D6" s="9" t="s">
        <v>89</v>
      </c>
      <c r="E6" s="9" t="s">
        <v>90</v>
      </c>
      <c r="F6" s="9" t="s">
        <v>91</v>
      </c>
      <c r="G6" s="9" t="s">
        <v>92</v>
      </c>
      <c r="H6" s="9" t="s">
        <v>83</v>
      </c>
      <c r="I6" s="9" t="s">
        <v>93</v>
      </c>
      <c r="J6" s="9" t="s">
        <v>20</v>
      </c>
      <c r="K6" s="9" t="s">
        <v>94</v>
      </c>
      <c r="L6" s="9" t="s">
        <v>95</v>
      </c>
      <c r="M6" s="9" t="s">
        <v>9</v>
      </c>
      <c r="N6" s="9"/>
    </row>
    <row r="7" customFormat="false" ht="108" hidden="false" customHeight="true" outlineLevel="0" collapsed="false">
      <c r="A7" s="8" t="s">
        <v>96</v>
      </c>
      <c r="B7" s="9" t="s">
        <v>97</v>
      </c>
      <c r="C7" s="9" t="s">
        <v>98</v>
      </c>
      <c r="D7" s="9" t="s">
        <v>99</v>
      </c>
      <c r="E7" s="9" t="s">
        <v>100</v>
      </c>
      <c r="F7" s="9" t="s">
        <v>101</v>
      </c>
      <c r="G7" s="9" t="s">
        <v>102</v>
      </c>
      <c r="H7" s="9" t="s">
        <v>51</v>
      </c>
      <c r="I7" s="9" t="s">
        <v>84</v>
      </c>
      <c r="J7" s="9" t="s">
        <v>18</v>
      </c>
      <c r="K7" s="9" t="s">
        <v>103</v>
      </c>
      <c r="L7" s="9" t="s">
        <v>104</v>
      </c>
      <c r="M7" s="9" t="s">
        <v>9</v>
      </c>
      <c r="N7" s="9" t="s">
        <v>105</v>
      </c>
    </row>
    <row r="8" customFormat="false" ht="108" hidden="false" customHeight="true" outlineLevel="0" collapsed="false">
      <c r="A8" s="8" t="s">
        <v>106</v>
      </c>
      <c r="B8" s="9" t="s">
        <v>107</v>
      </c>
      <c r="C8" s="9" t="s">
        <v>108</v>
      </c>
      <c r="D8" s="9" t="s">
        <v>109</v>
      </c>
      <c r="E8" s="9" t="s">
        <v>110</v>
      </c>
      <c r="F8" s="9" t="s">
        <v>111</v>
      </c>
      <c r="G8" s="9" t="s">
        <v>112</v>
      </c>
      <c r="H8" s="9" t="s">
        <v>83</v>
      </c>
      <c r="I8" s="9" t="s">
        <v>52</v>
      </c>
      <c r="J8" s="9" t="s">
        <v>18</v>
      </c>
      <c r="K8" s="9" t="s">
        <v>103</v>
      </c>
      <c r="L8" s="9" t="s">
        <v>113</v>
      </c>
      <c r="M8" s="9" t="s">
        <v>9</v>
      </c>
      <c r="N8" s="9" t="s">
        <v>114</v>
      </c>
    </row>
    <row r="9" customFormat="false" ht="108" hidden="false" customHeight="true" outlineLevel="0" collapsed="false">
      <c r="A9" s="8" t="s">
        <v>115</v>
      </c>
      <c r="B9" s="9" t="s">
        <v>116</v>
      </c>
      <c r="C9" s="9" t="s">
        <v>117</v>
      </c>
      <c r="D9" s="9" t="s">
        <v>118</v>
      </c>
      <c r="E9" s="9" t="s">
        <v>119</v>
      </c>
      <c r="F9" s="9" t="s">
        <v>120</v>
      </c>
      <c r="G9" s="9" t="s">
        <v>121</v>
      </c>
      <c r="H9" s="9" t="s">
        <v>83</v>
      </c>
      <c r="I9" s="9" t="s">
        <v>93</v>
      </c>
      <c r="J9" s="9" t="s">
        <v>18</v>
      </c>
      <c r="K9" s="9" t="s">
        <v>103</v>
      </c>
      <c r="L9" s="9" t="s">
        <v>122</v>
      </c>
      <c r="M9" s="9" t="s">
        <v>9</v>
      </c>
      <c r="N9" s="9" t="s">
        <v>123</v>
      </c>
    </row>
    <row r="10" customFormat="false" ht="108" hidden="false" customHeight="true" outlineLevel="0" collapsed="false">
      <c r="A10" s="8" t="s">
        <v>124</v>
      </c>
      <c r="B10" s="9" t="s">
        <v>125</v>
      </c>
      <c r="C10" s="9" t="s">
        <v>126</v>
      </c>
      <c r="D10" s="9" t="s">
        <v>99</v>
      </c>
      <c r="E10" s="9" t="s">
        <v>127</v>
      </c>
      <c r="F10" s="9" t="s">
        <v>128</v>
      </c>
      <c r="G10" s="9" t="s">
        <v>129</v>
      </c>
      <c r="H10" s="9" t="s">
        <v>83</v>
      </c>
      <c r="I10" s="9" t="s">
        <v>84</v>
      </c>
      <c r="J10" s="9" t="s">
        <v>18</v>
      </c>
      <c r="K10" s="9" t="s">
        <v>103</v>
      </c>
      <c r="L10" s="9" t="s">
        <v>130</v>
      </c>
      <c r="M10" s="9" t="s">
        <v>9</v>
      </c>
      <c r="N10" s="9"/>
    </row>
    <row r="11" customFormat="false" ht="108" hidden="false" customHeight="true" outlineLevel="0" collapsed="false">
      <c r="A11" s="10" t="s">
        <v>131</v>
      </c>
      <c r="B11" s="11" t="s">
        <v>132</v>
      </c>
      <c r="C11" s="11" t="s">
        <v>133</v>
      </c>
      <c r="D11" s="11" t="s">
        <v>134</v>
      </c>
      <c r="E11" s="11" t="s">
        <v>135</v>
      </c>
      <c r="F11" s="11" t="s">
        <v>136</v>
      </c>
      <c r="G11" s="11" t="s">
        <v>137</v>
      </c>
      <c r="H11" s="11" t="s">
        <v>83</v>
      </c>
      <c r="I11" s="11" t="s">
        <v>84</v>
      </c>
      <c r="J11" s="11" t="s">
        <v>22</v>
      </c>
      <c r="K11" s="11" t="s">
        <v>138</v>
      </c>
      <c r="L11" s="11" t="s">
        <v>139</v>
      </c>
      <c r="M11" s="11" t="s">
        <v>9</v>
      </c>
      <c r="N11" s="11" t="s">
        <v>140</v>
      </c>
    </row>
  </sheetData>
  <autoFilter ref="A1:N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12" t="s">
        <v>141</v>
      </c>
    </row>
    <row r="3" customFormat="false" ht="15" hidden="false" customHeight="true" outlineLevel="0" collapsed="false">
      <c r="A3" s="13" t="s">
        <v>40</v>
      </c>
      <c r="B3" s="13" t="s">
        <v>33</v>
      </c>
      <c r="C3" s="13" t="s">
        <v>39</v>
      </c>
      <c r="D3" s="13" t="s">
        <v>142</v>
      </c>
    </row>
    <row r="4" customFormat="false" ht="15" hidden="false" customHeight="true" outlineLevel="0" collapsed="false">
      <c r="A4" s="14" t="s">
        <v>143</v>
      </c>
      <c r="B4" s="14" t="s">
        <v>144</v>
      </c>
      <c r="C4" s="14" t="s">
        <v>145</v>
      </c>
      <c r="D4" s="14" t="n">
        <v>0</v>
      </c>
    </row>
    <row r="5" customFormat="false" ht="15" hidden="false" customHeight="true" outlineLevel="0" collapsed="false">
      <c r="A5" s="14" t="s">
        <v>53</v>
      </c>
      <c r="B5" s="14" t="s">
        <v>146</v>
      </c>
      <c r="C5" s="14" t="s">
        <v>145</v>
      </c>
      <c r="D5" s="14" t="n">
        <v>14</v>
      </c>
    </row>
    <row r="6" customFormat="false" ht="15" hidden="false" customHeight="true" outlineLevel="0" collapsed="false">
      <c r="A6" s="14" t="s">
        <v>103</v>
      </c>
      <c r="B6" s="14" t="s">
        <v>147</v>
      </c>
      <c r="C6" s="14" t="s">
        <v>145</v>
      </c>
      <c r="D6" s="14" t="n">
        <v>6</v>
      </c>
    </row>
    <row r="7" customFormat="false" ht="15" hidden="false" customHeight="true" outlineLevel="0" collapsed="false">
      <c r="A7" s="14" t="s">
        <v>138</v>
      </c>
      <c r="B7" s="14" t="s">
        <v>148</v>
      </c>
      <c r="C7" s="14" t="s">
        <v>149</v>
      </c>
      <c r="D7" s="14" t="n">
        <v>0</v>
      </c>
    </row>
    <row r="8" customFormat="false" ht="15" hidden="false" customHeight="true" outlineLevel="0" collapsed="false">
      <c r="A8" s="14" t="s">
        <v>150</v>
      </c>
      <c r="B8" s="14" t="s">
        <v>151</v>
      </c>
      <c r="C8" s="14" t="s">
        <v>149</v>
      </c>
      <c r="D8" s="14" t="n">
        <v>0</v>
      </c>
    </row>
    <row r="9" customFormat="false" ht="15" hidden="false" customHeight="true" outlineLevel="0" collapsed="false">
      <c r="A9" s="14" t="s">
        <v>65</v>
      </c>
      <c r="B9" s="14" t="s">
        <v>152</v>
      </c>
      <c r="C9" s="14" t="s">
        <v>153</v>
      </c>
      <c r="D9" s="14" t="n">
        <v>17</v>
      </c>
    </row>
    <row r="10" customFormat="false" ht="15" hidden="false" customHeight="true" outlineLevel="0" collapsed="false">
      <c r="A10" s="14" t="s">
        <v>154</v>
      </c>
      <c r="B10" s="14" t="s">
        <v>155</v>
      </c>
      <c r="C10" s="14" t="s">
        <v>149</v>
      </c>
      <c r="D10" s="14" t="n">
        <v>0</v>
      </c>
    </row>
    <row r="11" customFormat="false" ht="15" hidden="false" customHeight="true" outlineLevel="0" collapsed="false">
      <c r="A11" s="14" t="s">
        <v>94</v>
      </c>
      <c r="B11" s="14" t="s">
        <v>156</v>
      </c>
      <c r="C11" s="14" t="s">
        <v>149</v>
      </c>
      <c r="D11" s="14" t="n">
        <v>0</v>
      </c>
    </row>
    <row r="12" customFormat="false" ht="15" hidden="false" customHeight="true" outlineLevel="0" collapsed="false">
      <c r="A12" s="14" t="s">
        <v>157</v>
      </c>
      <c r="B12" s="14" t="s">
        <v>158</v>
      </c>
      <c r="C12" s="14" t="s">
        <v>149</v>
      </c>
      <c r="D12" s="14" t="n">
        <v>0</v>
      </c>
    </row>
    <row r="13" customFormat="false" ht="15" hidden="false" customHeight="true" outlineLevel="0" collapsed="false">
      <c r="A13" s="15" t="s">
        <v>159</v>
      </c>
      <c r="B13" s="16"/>
      <c r="C13" s="16"/>
      <c r="D13" s="15" t="n">
        <f aca="false">SUM(D4:D12)</f>
        <v>37</v>
      </c>
    </row>
    <row r="15" customFormat="false" ht="15" hidden="false" customHeight="true" outlineLevel="0" collapsed="false">
      <c r="A15" s="17" t="s">
        <v>160</v>
      </c>
    </row>
    <row r="16" customFormat="false" ht="15" hidden="false" customHeight="true" outlineLevel="0" collapsed="false">
      <c r="A16" s="18" t="s">
        <v>161</v>
      </c>
      <c r="B16" s="19" t="n">
        <f aca="false">COUNTA(Incidents!A2:A11)</f>
        <v>10</v>
      </c>
    </row>
    <row r="17" customFormat="false" ht="15" hidden="false" customHeight="true" outlineLevel="0" collapsed="false">
      <c r="A17" s="18" t="s">
        <v>51</v>
      </c>
      <c r="B17" s="19" t="n">
        <f aca="false">COUNTIF(Incidents!H2:H11,"Machine-evaluated")</f>
        <v>4</v>
      </c>
    </row>
    <row r="18" customFormat="false" ht="15" hidden="false" customHeight="true" outlineLevel="0" collapsed="false">
      <c r="A18" s="18" t="s">
        <v>162</v>
      </c>
      <c r="B18" s="19" t="n">
        <f aca="false">COUNTIF(Incidents!H2:H11,"Reasoned")</f>
        <v>6</v>
      </c>
    </row>
    <row r="19" customFormat="false" ht="15" hidden="false" customHeight="true" outlineLevel="0" collapsed="false">
      <c r="A19" s="18" t="s">
        <v>163</v>
      </c>
      <c r="B19" s="19" t="n">
        <f aca="false">COUNTIF(Incidents!I2:I11,"High")</f>
        <v>3</v>
      </c>
    </row>
    <row r="20" customFormat="false" ht="15" hidden="false" customHeight="true" outlineLevel="0" collapsed="false">
      <c r="A20" s="18" t="s">
        <v>164</v>
      </c>
      <c r="B20" s="19" t="n">
        <f aca="false">COUNTIF(Incidents!I2:I11,"Medium")</f>
        <v>4</v>
      </c>
    </row>
    <row r="21" customFormat="false" ht="15" hidden="false" customHeight="true" outlineLevel="0" collapsed="false">
      <c r="A21" s="18" t="s">
        <v>165</v>
      </c>
      <c r="B21" s="19" t="n">
        <f aca="false">COUNTIF(Incidents!I2:I11,"Low")</f>
        <v>2</v>
      </c>
    </row>
    <row r="22" customFormat="false" ht="15" hidden="false" customHeight="true" outlineLevel="0" collapsed="false">
      <c r="A22" s="18" t="s">
        <v>166</v>
      </c>
      <c r="B22" s="19" t="n">
        <f aca="false">COUNTIF(Incidents!J2:J11,"Open")</f>
        <v>7</v>
      </c>
    </row>
    <row r="23" customFormat="false" ht="15" hidden="false" customHeight="true" outlineLevel="0" collapsed="false">
      <c r="A23" s="18" t="s">
        <v>167</v>
      </c>
      <c r="B23" s="19" t="n">
        <f aca="false">COUNTIF(Incidents!J2:J11,"Not yet encoded")</f>
        <v>1</v>
      </c>
    </row>
    <row r="24" customFormat="false" ht="15" hidden="false" customHeight="true" outlineLevel="0" collapsed="false">
      <c r="A24" s="18" t="s">
        <v>168</v>
      </c>
      <c r="B24" s="19" t="n">
        <f aca="false">COUNTIF(Incidents!J2:J11,"Candidate")</f>
        <v>1</v>
      </c>
    </row>
    <row r="25" customFormat="false" ht="15" hidden="false" customHeight="true" outlineLevel="0" collapsed="false">
      <c r="A25" s="18" t="s">
        <v>169</v>
      </c>
      <c r="B25" s="19" t="n">
        <f aca="false">COUNTIF(Incidents!J2:J11,"Resolved")</f>
        <v>0</v>
      </c>
    </row>
    <row r="26" customFormat="false" ht="15" hidden="false" customHeight="false" outlineLevel="0" collapsed="false">
      <c r="A26" s="20" t="s">
        <v>170</v>
      </c>
      <c r="B26" s="21" t="n">
        <f aca="false">COUNTIF(Incidents!J2:J11,"Verified - no defect")</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2026-09-11T06:43:02Z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