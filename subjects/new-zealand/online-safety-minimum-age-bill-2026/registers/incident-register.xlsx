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600" firstSheet="0" activeTab="0"/>
  </bookViews>
  <sheets>
    <sheet name="Read me" sheetId="1" state="visible" r:id="rId3"/>
    <sheet name="Incidents" sheetId="2" state="visible" r:id="rId4"/>
    <sheet name="Coverage" sheetId="3" state="visible" r:id="rId5"/>
  </sheets>
  <definedNames>
    <definedName function="false" hidden="true" localSheetId="1" name="_xlnm._FilterDatabase" vbProcedure="false">Incidents!$A$1:$N$11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<sst xmlns="http://schemas.openxmlformats.org/spreadsheetml/2006/main" count="227" uniqueCount="167">
  <si>
    <t xml:space="preserve">Online Safety (Minimum Age and Child Safety Risk Assessment) Bill 2026 No 339-1</t>
  </si>
  <si>
    <t xml:space="preserve">Incident register - legislative quality assurance</t>
  </si>
  <si>
    <t xml:space="preserve">Subject</t>
  </si>
  <si>
    <t xml:space="preserve">canon/subjects/new-zealand/online-safety-minimum-age-bill-2026</t>
  </si>
  <si>
    <t xml:space="preserve">Source</t>
  </si>
  <si>
    <t xml:space="preserve">New Zealand Legislation, LMS1592864, retrieved 2026-09-11</t>
  </si>
  <si>
    <t xml:space="preserve">Bill stage</t>
  </si>
  <si>
    <t xml:space="preserve">1 (introduction), introduced 24 August 2026</t>
  </si>
  <si>
    <t xml:space="preserve">Register opened</t>
  </si>
  <si>
    <t xml:space="preserve">2026-09-11</t>
  </si>
  <si>
    <t xml:space="preserve">Terminology</t>
  </si>
  <si>
    <t xml:space="preserve">Incident</t>
  </si>
  <si>
    <t xml:space="preserve">A defect, gap or open question in the Bill as drafted. One row per incident on the Incidents sheet. Incidents are about the TEXT, not about the encoding.</t>
  </si>
  <si>
    <t xml:space="preserve">Probe</t>
  </si>
  <si>
    <t xml:space="preserve">A machine-evaluated test in the L4 encoding that demonstrates an incident. A probe is the evidence; the incident is the finding. Probe numbers refer to the numbered list in the subject's NOTES.md, which is the prose record.</t>
  </si>
  <si>
    <t xml:space="preserve">Verification</t>
  </si>
  <si>
    <t xml:space="preserve">Machine-evaluated = an #ASSERT or #EVAL directive in a named module produces the stated result under l4 run. Reasoned = the finding follows from reading two or more provisions together and has not been reduced to a directive, usually because the relevant module is not yet encoded.</t>
  </si>
  <si>
    <t xml:space="preserve">Status vocabulary</t>
  </si>
  <si>
    <t xml:space="preserve">Open</t>
  </si>
  <si>
    <t xml:space="preserve">The incident stands against the current text and has not been resolved.</t>
  </si>
  <si>
    <t xml:space="preserve">Not yet encoded</t>
  </si>
  <si>
    <t xml:space="preserve">The incident is suspected but its module has not been written, so no probe supports it yet.</t>
  </si>
  <si>
    <t xml:space="preserve">Candidate</t>
  </si>
  <si>
    <t xml:space="preserve">Raised in discussion, not yet entered in NOTES.md; include or discard on review.</t>
  </si>
  <si>
    <t xml:space="preserve">Resolved</t>
  </si>
  <si>
    <t xml:space="preserve">Addressed by an amendment to the Bill, or withdrawn as mistaken. Record which in the Notes column.</t>
  </si>
  <si>
    <t xml:space="preserve">Severity</t>
  </si>
  <si>
    <t xml:space="preserve">Severity is the analyst's assessment, not a finding of the encoding. High = the text produces an outcome that is likely unintended and consequential. Medium = an operator or the regulator cannot determine their position from the text. Low = an asymmetry or gap that is probably deliberate but worth confirming.</t>
  </si>
  <si>
    <t xml:space="preserve">Method</t>
  </si>
  <si>
    <t xml:space="preserve">Each provision is encoded in L4 isomorphically to the clause it states, then exercised against fixtures. Where the encoding produces a result the drafter is unlikely to have intended, the result is recorded here with the directive that produced it. Expected values are machine-evaluated, never hand-typed.</t>
  </si>
  <si>
    <t xml:space="preserve">Caveat</t>
  </si>
  <si>
    <t xml:space="preserve">This register records questions for the drafter. It is not legal advice and makes no claim that any reading here is the correct one. The subject's status is 'draft': no fidelity claim is made and no human gate has been granted.</t>
  </si>
  <si>
    <t xml:space="preserve">ID</t>
  </si>
  <si>
    <t xml:space="preserve">Clauses</t>
  </si>
  <si>
    <t xml:space="preserve">Title</t>
  </si>
  <si>
    <t xml:space="preserve">Category</t>
  </si>
  <si>
    <t xml:space="preserve">Description</t>
  </si>
  <si>
    <t xml:space="preserve">Consequence</t>
  </si>
  <si>
    <t xml:space="preserve">Evidence</t>
  </si>
  <si>
    <t xml:space="preserve">Status</t>
  </si>
  <si>
    <t xml:space="preserve">Module</t>
  </si>
  <si>
    <t xml:space="preserve">NOTES ref</t>
  </si>
  <si>
    <t xml:space="preserve">Raised</t>
  </si>
  <si>
    <t xml:space="preserve">Notes</t>
  </si>
  <si>
    <t xml:space="preserve">OS-001</t>
  </si>
  <si>
    <t xml:space="preserve">cl 5(1)(b), cl 5(2)</t>
  </si>
  <si>
    <t xml:space="preserve">Excluded-service carve-out attaches only to limb (a)</t>
  </si>
  <si>
    <t xml:space="preserve">Scope gap</t>
  </si>
  <si>
    <t xml:space="preserve">cl 5(2) defines 'excluded service' and cl 5(1)(a)(iv) requires that a service is not one. cl 5(1)(b), the AI companion limb, carries no such carve-out and requires no specified feature.</t>
  </si>
  <si>
    <t xml:space="preserve">A service that solely or primarily enables healthcare or education - and so is excluded from limb (a) - is caught by limb (b) if it uses AI to simulate a personal connection. A therapy or tutoring chatbot falls out of scope and straight back in.</t>
  </si>
  <si>
    <t xml:space="preserve">part-1-preliminary.l4: #ASSERT 'the service is an age-restricted platform under section 5(1)(a)' 'a therapy chatbot' EQUALS FALSE; same fixture under 5(1)(b) EQUALS TRUE.</t>
  </si>
  <si>
    <t xml:space="preserve">Machine-evaluated</t>
  </si>
  <si>
    <t xml:space="preserve">High</t>
  </si>
  <si>
    <t xml:space="preserve">part-1-preliminary.l4</t>
  </si>
  <si>
    <t xml:space="preserve">Probe 1</t>
  </si>
  <si>
    <t xml:space="preserve">If intended, under-signposted; if not, a gap.</t>
  </si>
  <si>
    <t xml:space="preserve">OS-002</t>
  </si>
  <si>
    <t xml:space="preserve">cl 34(3)(a)-(i), cll 45-47</t>
  </si>
  <si>
    <t xml:space="preserve">Tier partition over specified liability acts not yet verified</t>
  </si>
  <si>
    <t xml:space="preserve">Consistency risk</t>
  </si>
  <si>
    <t xml:space="preserve">cll 45-47 route cl 34(3)(a)-(c) to Tier 1, (d)-(g) to Tier 2, and (h)-(i) to Tier 3. The partition appears total and disjoint on its face but has not been machine-checked.</t>
  </si>
  <si>
    <t xml:space="preserve">A paragraph falling in two tiers or in none would leave the maximum penalty indeterminate. Partitions of this kind typically break on amendment rather than at introduction.</t>
  </si>
  <si>
    <t xml:space="preserve">Pending: the remedies module is not yet encoded.</t>
  </si>
  <si>
    <t xml:space="preserve">Reasoned</t>
  </si>
  <si>
    <t xml:space="preserve">Medium</t>
  </si>
  <si>
    <t xml:space="preserve">part-3-subpart-3-remedies.l4</t>
  </si>
  <si>
    <t xml:space="preserve">Probe 2</t>
  </si>
  <si>
    <t xml:space="preserve">Encode cll 34-56 next; this becomes a directive.</t>
  </si>
  <si>
    <t xml:space="preserve">OS-003</t>
  </si>
  <si>
    <t xml:space="preserve">cl 6(1), cl 6(2)</t>
  </si>
  <si>
    <t xml:space="preserve">A section 7 designation displaces the company that actually runs the platform</t>
  </si>
  <si>
    <t xml:space="preserve">Liability gap</t>
  </si>
  <si>
    <t xml:space="preserve">cl 6(2) provides that a designated person is 'the only operator ... while the designation is in place'. A person who manages or controls the platform's operations in New Zealand, and so is an operator under cl 6(1), ceases to be the operator once someone else is designated.</t>
  </si>
  <si>
    <t xml:space="preserve">Every Part 2 duty attaches to 'an operator of an age-restricted platform', so the displaced controller owes none while the designation stands. The Bill does not say what becomes of duties that accrued before the designation.</t>
  </si>
  <si>
    <t xml:space="preserve">part-1-preliminary.l4: on 'a displaced controller', #ASSERT 'the person is an operator under section 6(1)' EQUALS TRUE and #ASSERT 'the person is the operator of the platform' EQUALS FALSE.</t>
  </si>
  <si>
    <t xml:space="preserve">Probe 3</t>
  </si>
  <si>
    <t xml:space="preserve">Consider a savings provision for accrued duties.</t>
  </si>
  <si>
    <t xml:space="preserve">OS-004</t>
  </si>
  <si>
    <t xml:space="preserve">cl 7(1)(a), cl 7(1)(b)</t>
  </si>
  <si>
    <t xml:space="preserve">Designation power cannot reach a controller outside both limbs</t>
  </si>
  <si>
    <t xml:space="preserve">cl 7(1) permits the regulator to designate only a cl 6(1) operator or an interconnected body corporate of one. No other person can be designated, however clearly they direct the platform.</t>
  </si>
  <si>
    <t xml:space="preserve">cl 7(2)(a) gives the purpose of the power as providing certainty about who is and is not an operator. That certainty is unavailable in precisely the case where identifying the operator is hardest - a platform whose controller answers neither limb.</t>
  </si>
  <si>
    <t xml:space="preserve">Surfaced while encoding cl 7(1) in part-1-preliminary.l4; follows from the text of the limbs.</t>
  </si>
  <si>
    <t xml:space="preserve">Probe 3 (second limb)</t>
  </si>
  <si>
    <t xml:space="preserve">OS-005</t>
  </si>
  <si>
    <t xml:space="preserve">cl 5(1)(c), cl 61, cl 62</t>
  </si>
  <si>
    <t xml:space="preserve">Interaction of exemption orders with regulation-added platforms untested</t>
  </si>
  <si>
    <t xml:space="preserve">Scope question</t>
  </si>
  <si>
    <t xml:space="preserve">Three routes bring a service into scope: the cl 5(1)(a) and (b) tests, cl 62 regulations under cl 5(1)(c), and cl 7 designation of an operator. cl 61 exemption orders are the route out.</t>
  </si>
  <si>
    <t xml:space="preserve">Whether an exemption under cl 61 can reach a platform brought into scope by regulations under cl 62, and whether the two can conflict, is not apparent from the text.</t>
  </si>
  <si>
    <t xml:space="preserve">Pending: cll 61-64 are not yet encoded.</t>
  </si>
  <si>
    <t xml:space="preserve">Low</t>
  </si>
  <si>
    <t xml:space="preserve">part-3-subpart-5-other.l4</t>
  </si>
  <si>
    <t xml:space="preserve">Probe 4</t>
  </si>
  <si>
    <t xml:space="preserve">OS-006</t>
  </si>
  <si>
    <t xml:space="preserve">cl 11(1), cl 11(2), cl 11(3)</t>
  </si>
  <si>
    <t xml:space="preserve">The minimum age duty states only which methods fail</t>
  </si>
  <si>
    <t xml:space="preserve">Definitional openness</t>
  </si>
  <si>
    <t xml:space="preserve">cl 11(2) provides that manual entry of age or date of birth is not a reasonable step. cl 11(3) provides that an approved evidence of age document, a digital identity service, or both together do not satisfy the duty. Nothing states what does.</t>
  </si>
  <si>
    <t xml:space="preserve">An operator can determine with certainty only which methods will fail. The residue of 'reasonable steps' is left to be worked out against a Tier 1 penalty - cl 34(3)(a) routes to cl 45, the greater of $40 million or 10% of relevant global turnover.</t>
  </si>
  <si>
    <t xml:space="preserve">part-2-duties.l4: #ASSERT 'the steps taken cannot satisfy the duty' 'identity documents only' EQUALS TRUE; #ASSERT 'the operator satisfies the duty in section 11(1)' EQUALS FALSE.</t>
  </si>
  <si>
    <t xml:space="preserve">part-2-duties.l4</t>
  </si>
  <si>
    <t xml:space="preserve">Probe 5</t>
  </si>
  <si>
    <t xml:space="preserve">May be deliberate; the encoding keeps the residue visible as its own field.</t>
  </si>
  <si>
    <t xml:space="preserve">OS-007</t>
  </si>
  <si>
    <t xml:space="preserve">cl 16(5), cl 34(3)(f), cl 46</t>
  </si>
  <si>
    <t xml:space="preserve">A duty with no time for performance carries Tier 2 liability</t>
  </si>
  <si>
    <t xml:space="preserve">Deadline omission</t>
  </si>
  <si>
    <t xml:space="preserve">cl 15(1) allows 12 months or an earlier notified date. cl 17(3) requires a copy as soon as practicable after the assessment and before the change is made. cl 16(5) says only that 'on completion of a review, the operator must provide the regulator with a copy' - no period, no notified date, no 'as soon as practicable'.</t>
  </si>
  <si>
    <t xml:space="preserve">cl 34(3)(f) makes failure to provide in accordance with cl 16(5) a specified liability act, and cl 46 routes it to Tier 2: $250,000 for an individual, or otherwise the greater of $12 million and 3% of relevant global turnover. The operator cannot know when the duty is breached.</t>
  </si>
  <si>
    <t xml:space="preserve">Surfaced while encoding cl 16 in part-2-duties.l4: the DEONTIC WITHIN had no value to take, where cll 15 and 17 both supplied one.</t>
  </si>
  <si>
    <t xml:space="preserve">Probe 6</t>
  </si>
  <si>
    <t xml:space="preserve">cl 19(3)(b) solves the same problem three clauses later by requiring the notice to specify the date.</t>
  </si>
  <si>
    <t xml:space="preserve">OS-008</t>
  </si>
  <si>
    <t xml:space="preserve">cl 13(3)</t>
  </si>
  <si>
    <t xml:space="preserve">The only duty binding the regulator carries no consequence</t>
  </si>
  <si>
    <t xml:space="preserve">Unenforceable duty</t>
  </si>
  <si>
    <t xml:space="preserve">cl 13(3) requires the regulator to notify the Privacy Commissioner before applying to the High Court for a court-imposed remedy in respect of a cl 12(1) contravention.</t>
  </si>
  <si>
    <t xml:space="preserve">All nine specified liability acts in cl 34(3) are operator failures, and the offences in cll 57-60 do not reach the regulator. Nothing in the Act attaches to a breach of cl 13(3); judicial review is the only route.</t>
  </si>
  <si>
    <t xml:space="preserve">part-2-duties.l4 models it as the sole 'the regulator' arm of the duty actor enum, which is what made the asymmetry visible.</t>
  </si>
  <si>
    <t xml:space="preserve">Probe 7</t>
  </si>
  <si>
    <t xml:space="preserve">Probably deliberate; worth confirming.</t>
  </si>
  <si>
    <t xml:space="preserve">OS-009</t>
  </si>
  <si>
    <t xml:space="preserve">cl 17(1), cl 17(4)</t>
  </si>
  <si>
    <t xml:space="preserve">'Significant change' is defined inclusively</t>
  </si>
  <si>
    <t xml:space="preserve">cl 17(4) provides that significant change 'includes' a significant change to the design, features or functionality of the platform, or to its terms of use. The two limbs are sufficient, not exhaustive.</t>
  </si>
  <si>
    <t xml:space="preserve">An operator cannot determine in advance whether a given change triggers the cl 17(1) duty to assess before making it. Failure to provide the resulting assessment is a cl 34(3)(f) specified liability act at Tier 2.</t>
  </si>
  <si>
    <t xml:space="preserve">part-2-duties.l4 encodes the two limbs as sufficient rather than necessary, following the text.</t>
  </si>
  <si>
    <t xml:space="preserve">Probe 8</t>
  </si>
  <si>
    <t xml:space="preserve">OS-010</t>
  </si>
  <si>
    <t xml:space="preserve">cl 4 (regulator), cl 20(1), cl 20(2)</t>
  </si>
  <si>
    <t xml:space="preserve">The regulator is the chief executive of the department that wrote the Bill</t>
  </si>
  <si>
    <t xml:space="preserve">Structural</t>
  </si>
  <si>
    <t xml:space="preserve">cl 4 defines 'regulator' as the chief executive of the Ministry - the department responsible for administration of the Act, which the explanatory note identifies as the Department of Internal Affairs, the same department that prepared the regulatory analysis summary and certified the Bill's consistency under the Regulatory Standards Act 2025.</t>
  </si>
  <si>
    <t xml:space="preserve">cl 20(2) requires independence from the Minister, but only for the functions in cl 20(1)(a) and (b), and only as against the Minister - not as against the department the regulator heads. cl 20(1)(e) has the regulator advising the Minister on the cll 61-63 powers.</t>
  </si>
  <si>
    <t xml:space="preserve">Reading of cl 4, cl 20 and the explanatory note; not reduced to a directive.</t>
  </si>
  <si>
    <t xml:space="preserve">part-3-subpart-1-regulator.l4</t>
  </si>
  <si>
    <t xml:space="preserve">not in NOTES.md</t>
  </si>
  <si>
    <t xml:space="preserve">Raised in discussion 2026-09-11. Include in NOTES.md or discard on review.</t>
  </si>
  <si>
    <t xml:space="preserve">Encoding coverage and register summary</t>
  </si>
  <si>
    <t xml:space="preserve">#ASSERT directives</t>
  </si>
  <si>
    <t xml:space="preserve">types.l4</t>
  </si>
  <si>
    <t xml:space="preserve">shared domain</t>
  </si>
  <si>
    <t xml:space="preserve">encoded</t>
  </si>
  <si>
    <t xml:space="preserve">cll 1-10</t>
  </si>
  <si>
    <t xml:space="preserve">cll 11-19</t>
  </si>
  <si>
    <t xml:space="preserve">cll 20-23</t>
  </si>
  <si>
    <t xml:space="preserve">scaffold</t>
  </si>
  <si>
    <t xml:space="preserve">part-3-subpart-2-enforcement.l4</t>
  </si>
  <si>
    <t xml:space="preserve">cll 24-33</t>
  </si>
  <si>
    <t xml:space="preserve">cll 34-56</t>
  </si>
  <si>
    <t xml:space="preserve">part-3-subpart-4-offences.l4</t>
  </si>
  <si>
    <t xml:space="preserve">cll 57-60</t>
  </si>
  <si>
    <t xml:space="preserve">cll 61-64</t>
  </si>
  <si>
    <t xml:space="preserve">schedule-1-transitional.l4</t>
  </si>
  <si>
    <t xml:space="preserve">Sch 1</t>
  </si>
  <si>
    <t xml:space="preserve">Total</t>
  </si>
  <si>
    <t xml:space="preserve">Register summary</t>
  </si>
  <si>
    <t xml:space="preserve">Incidents recorded</t>
  </si>
  <si>
    <t xml:space="preserve">Reasoned only</t>
  </si>
  <si>
    <t xml:space="preserve">Severity High</t>
  </si>
  <si>
    <t xml:space="preserve">Severity Medium</t>
  </si>
  <si>
    <t xml:space="preserve">Severity Low</t>
  </si>
  <si>
    <t xml:space="preserve">Status Open</t>
  </si>
  <si>
    <t xml:space="preserve">Status Not yet encoded</t>
  </si>
  <si>
    <t xml:space="preserve">Status Candidate</t>
  </si>
  <si>
    <t xml:space="preserve">Status Resolved</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</si>
</sst>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i val="true"/>
      <sz val="11"/>
      <name val="Arial"/>
      <family val="0"/>
      <charset val="1"/>
    </font>
    <font>
      <b val="true"/>
      <sz val="10"/>
      <name val="Arial"/>
      <family val="0"/>
      <charset val="1"/>
    </font>
    <font>
      <b val="true"/>
      <sz val="10"/>
      <color rgb="FFFFFFFF"/>
      <name val="Arial"/>
      <family val="0"/>
      <charset val="1"/>
    </font>
    <font>
      <b val="true"/>
      <sz val="11"/>
      <name val="Arial"/>
      <family val="0"/>
      <charset val="1"/>
    </font>
  </fonts>
  <fills count="4">
    <fill>
      <patternFill patternType="none"/>
    </fill>
    <fill>
      <patternFill patternType="gray125"/>
    </fill>
    <fill>
      <patternFill patternType="solid">
        <fgColor rgb="FF1F3864"/>
        <bgColor rgb="FF333333"/>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1F3864"/>
          <bgColor rgb="FF000000"/>
        </patternFill>
      </fill>
    </dxf>
    <dxf>
      <fill>
        <patternFill patternType="solid">
          <fgColor rgb="FFFFF2CC"/>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22"/>
    <col collapsed="false" customWidth="true" hidden="false" outlineLevel="0" max="2" min="2" style="0" width="105"/>
  </cols>
  <sheetData>
    <row r="1" customFormat="false" ht="17.35" hidden="false" customHeight="false" outlineLevel="0" collapsed="false">
      <c r="A1" s="1" t="s">
        <v>0</v>
      </c>
      <c r="B1" s="2"/>
    </row>
    <row r="2" customFormat="false" ht="15" hidden="false" customHeight="false" outlineLevel="0" collapsed="false">
      <c r="A2" s="3" t="s">
        <v>1</v>
      </c>
      <c r="B2" s="2"/>
    </row>
    <row r="3" customFormat="false" ht="15" hidden="false" customHeight="false" outlineLevel="0" collapsed="false">
      <c r="A3" s="4"/>
      <c r="B3" s="2"/>
    </row>
    <row r="4" customFormat="false" ht="15" hidden="false" customHeight="false" outlineLevel="0" collapsed="false">
      <c r="A4" s="5" t="s">
        <v>2</v>
      </c>
      <c r="B4" s="2" t="s">
        <v>3</v>
      </c>
    </row>
    <row r="5" customFormat="false" ht="15" hidden="false" customHeight="false" outlineLevel="0" collapsed="false">
      <c r="A5" s="5" t="s">
        <v>4</v>
      </c>
      <c r="B5" s="2" t="s">
        <v>5</v>
      </c>
    </row>
    <row r="6" customFormat="false" ht="15" hidden="false" customHeight="false" outlineLevel="0" collapsed="false">
      <c r="A6" s="5" t="s">
        <v>6</v>
      </c>
      <c r="B6" s="2" t="s">
        <v>7</v>
      </c>
    </row>
    <row r="7" customFormat="false" ht="15" hidden="false" customHeight="false" outlineLevel="0" collapsed="false">
      <c r="A7" s="5" t="s">
        <v>8</v>
      </c>
      <c r="B7" s="2" t="s">
        <v>9</v>
      </c>
    </row>
    <row r="8" customFormat="false" ht="15" hidden="false" customHeight="false" outlineLevel="0" collapsed="false">
      <c r="A8" s="4"/>
      <c r="B8" s="2"/>
    </row>
    <row r="9" customFormat="false" ht="15" hidden="false" customHeight="false" outlineLevel="0" collapsed="false">
      <c r="A9" s="5" t="s">
        <v>10</v>
      </c>
      <c r="B9" s="2"/>
    </row>
    <row r="10" customFormat="false" ht="57.75" hidden="false" customHeight="true" outlineLevel="0" collapsed="false">
      <c r="A10" s="5" t="s">
        <v>11</v>
      </c>
      <c r="B10" s="2" t="s">
        <v>12</v>
      </c>
    </row>
    <row r="11" customFormat="false" ht="57.75" hidden="false" customHeight="true" outlineLevel="0" collapsed="false">
      <c r="A11" s="5" t="s">
        <v>13</v>
      </c>
      <c r="B11" s="2" t="s">
        <v>14</v>
      </c>
    </row>
    <row r="12" customFormat="false" ht="57.75" hidden="false" customHeight="true" outlineLevel="0" collapsed="false">
      <c r="A12" s="5" t="s">
        <v>15</v>
      </c>
      <c r="B12" s="2" t="s">
        <v>16</v>
      </c>
    </row>
    <row r="13" customFormat="false" ht="15" hidden="false" customHeight="false" outlineLevel="0" collapsed="false">
      <c r="A13" s="4"/>
      <c r="B13" s="2"/>
    </row>
    <row r="14" customFormat="false" ht="15" hidden="false" customHeight="false" outlineLevel="0" collapsed="false">
      <c r="A14" s="4" t="s">
        <v>17</v>
      </c>
      <c r="B14" s="2"/>
    </row>
    <row r="15" customFormat="false" ht="15" hidden="false" customHeight="false" outlineLevel="0" collapsed="false">
      <c r="A15" s="5" t="s">
        <v>18</v>
      </c>
      <c r="B15" s="2" t="s">
        <v>19</v>
      </c>
    </row>
    <row r="16" customFormat="false" ht="15" hidden="false" customHeight="false" outlineLevel="0" collapsed="false">
      <c r="A16" s="5" t="s">
        <v>20</v>
      </c>
      <c r="B16" s="2" t="s">
        <v>21</v>
      </c>
    </row>
    <row r="17" customFormat="false" ht="15" hidden="false" customHeight="false" outlineLevel="0" collapsed="false">
      <c r="A17" s="5" t="s">
        <v>22</v>
      </c>
      <c r="B17" s="2" t="s">
        <v>23</v>
      </c>
    </row>
    <row r="18" customFormat="false" ht="15" hidden="false" customHeight="false" outlineLevel="0" collapsed="false">
      <c r="A18" s="5" t="s">
        <v>24</v>
      </c>
      <c r="B18" s="2" t="s">
        <v>25</v>
      </c>
    </row>
    <row r="19" customFormat="false" ht="15" hidden="false" customHeight="false" outlineLevel="0" collapsed="false">
      <c r="A19" s="4"/>
      <c r="B19" s="2"/>
    </row>
    <row r="20" customFormat="false" ht="15" hidden="false" customHeight="false" outlineLevel="0" collapsed="false">
      <c r="A20" s="4" t="s">
        <v>26</v>
      </c>
      <c r="B20" s="2"/>
    </row>
    <row r="21" customFormat="false" ht="35" hidden="false" customHeight="false" outlineLevel="0" collapsed="false">
      <c r="A21" s="5"/>
      <c r="B21" s="2" t="s">
        <v>27</v>
      </c>
    </row>
    <row r="22" customFormat="false" ht="57.75" hidden="false" customHeight="true" outlineLevel="0" collapsed="false">
      <c r="A22" s="4"/>
      <c r="B22" s="2"/>
    </row>
    <row r="23" customFormat="false" ht="35" hidden="false" customHeight="false" outlineLevel="0" collapsed="false">
      <c r="A23" s="5" t="s">
        <v>28</v>
      </c>
      <c r="B23" s="2" t="s">
        <v>29</v>
      </c>
    </row>
    <row r="24" customFormat="false" ht="24" hidden="false" customHeight="false" outlineLevel="0" collapsed="false">
      <c r="A24" s="5" t="s">
        <v>30</v>
      </c>
      <c r="B24" s="2" t="s">
        <v>31</v>
      </c>
    </row>
    <row r="25" customFormat="false" ht="57.75" hidden="false" customHeight="true" outlineLevel="0" collapsed="false"/>
    <row r="26" customFormat="false" ht="57.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453125" defaultRowHeight="15" customHeight="false" zeroHeight="false" outlineLevelRow="0" outlineLevelCol="0"/>
  <cols>
    <col collapsed="false" customWidth="true" hidden="false" outlineLevel="0" max="1" min="1" style="0" width="9"/>
    <col collapsed="false" customWidth="true" hidden="false" outlineLevel="0" max="2" min="2" style="0" width="22"/>
    <col collapsed="false" customWidth="true" hidden="false" outlineLevel="0" max="3" min="3" style="0" width="42"/>
    <col collapsed="false" customWidth="true" hidden="false" outlineLevel="0" max="4" min="4" style="0" width="20"/>
    <col collapsed="false" customWidth="true" hidden="false" outlineLevel="0" max="6" min="5" style="0" width="62"/>
    <col collapsed="false" customWidth="true" hidden="false" outlineLevel="0" max="7" min="7" style="0" width="52"/>
    <col collapsed="false" customWidth="true" hidden="false" outlineLevel="0" max="8" min="8" style="0" width="16"/>
    <col collapsed="false" customWidth="true" hidden="false" outlineLevel="0" max="9" min="9" style="0" width="10"/>
    <col collapsed="false" customWidth="true" hidden="false" outlineLevel="0" max="10" min="10" style="0" width="16"/>
    <col collapsed="false" customWidth="true" hidden="false" outlineLevel="0" max="11" min="11" style="0" width="30"/>
    <col collapsed="false" customWidth="true" hidden="false" outlineLevel="0" max="12" min="12" style="0" width="20"/>
    <col collapsed="false" customWidth="true" hidden="false" outlineLevel="0" max="13" min="13" style="0" width="12"/>
    <col collapsed="false" customWidth="true" hidden="false" outlineLevel="0" max="14" min="14" style="0" width="46"/>
  </cols>
  <sheetData>
    <row r="1" customFormat="false" ht="15" hidden="false" customHeight="false" outlineLevel="0" collapsed="false">
      <c r="A1" s="6" t="s">
        <v>32</v>
      </c>
      <c r="B1" s="6" t="s">
        <v>33</v>
      </c>
      <c r="C1" s="6" t="s">
        <v>34</v>
      </c>
      <c r="D1" s="6" t="s">
        <v>35</v>
      </c>
      <c r="E1" s="6" t="s">
        <v>36</v>
      </c>
      <c r="F1" s="6" t="s">
        <v>37</v>
      </c>
      <c r="G1" s="6" t="s">
        <v>38</v>
      </c>
      <c r="H1" s="6" t="s">
        <v>15</v>
      </c>
      <c r="I1" s="6" t="s">
        <v>26</v>
      </c>
      <c r="J1" s="6" t="s">
        <v>39</v>
      </c>
      <c r="K1" s="6" t="s">
        <v>40</v>
      </c>
      <c r="L1" s="6" t="s">
        <v>41</v>
      </c>
      <c r="M1" s="6" t="s">
        <v>42</v>
      </c>
      <c r="N1" s="6" t="s">
        <v>43</v>
      </c>
    </row>
    <row r="2" customFormat="false" ht="108" hidden="false" customHeight="true" outlineLevel="0" collapsed="false">
      <c r="A2" s="7" t="s">
        <v>44</v>
      </c>
      <c r="B2" s="8" t="s">
        <v>45</v>
      </c>
      <c r="C2" s="8" t="s">
        <v>46</v>
      </c>
      <c r="D2" s="8" t="s">
        <v>47</v>
      </c>
      <c r="E2" s="8" t="s">
        <v>48</v>
      </c>
      <c r="F2" s="8" t="s">
        <v>49</v>
      </c>
      <c r="G2" s="8" t="s">
        <v>50</v>
      </c>
      <c r="H2" s="8" t="s">
        <v>51</v>
      </c>
      <c r="I2" s="8" t="s">
        <v>52</v>
      </c>
      <c r="J2" s="8" t="s">
        <v>18</v>
      </c>
      <c r="K2" s="8" t="s">
        <v>53</v>
      </c>
      <c r="L2" s="8" t="s">
        <v>54</v>
      </c>
      <c r="M2" s="8" t="s">
        <v>9</v>
      </c>
      <c r="N2" s="8" t="s">
        <v>55</v>
      </c>
    </row>
    <row r="3" customFormat="false" ht="108" hidden="false" customHeight="true" outlineLevel="0" collapsed="false">
      <c r="A3" s="7" t="s">
        <v>56</v>
      </c>
      <c r="B3" s="8" t="s">
        <v>57</v>
      </c>
      <c r="C3" s="8" t="s">
        <v>58</v>
      </c>
      <c r="D3" s="8" t="s">
        <v>59</v>
      </c>
      <c r="E3" s="8" t="s">
        <v>60</v>
      </c>
      <c r="F3" s="8" t="s">
        <v>61</v>
      </c>
      <c r="G3" s="8" t="s">
        <v>62</v>
      </c>
      <c r="H3" s="8" t="s">
        <v>63</v>
      </c>
      <c r="I3" s="8" t="s">
        <v>64</v>
      </c>
      <c r="J3" s="8" t="s">
        <v>20</v>
      </c>
      <c r="K3" s="8" t="s">
        <v>65</v>
      </c>
      <c r="L3" s="8" t="s">
        <v>66</v>
      </c>
      <c r="M3" s="8" t="s">
        <v>9</v>
      </c>
      <c r="N3" s="8" t="s">
        <v>67</v>
      </c>
    </row>
    <row r="4" customFormat="false" ht="108" hidden="false" customHeight="true" outlineLevel="0" collapsed="false">
      <c r="A4" s="7" t="s">
        <v>68</v>
      </c>
      <c r="B4" s="8" t="s">
        <v>69</v>
      </c>
      <c r="C4" s="8" t="s">
        <v>70</v>
      </c>
      <c r="D4" s="8" t="s">
        <v>71</v>
      </c>
      <c r="E4" s="8" t="s">
        <v>72</v>
      </c>
      <c r="F4" s="8" t="s">
        <v>73</v>
      </c>
      <c r="G4" s="8" t="s">
        <v>74</v>
      </c>
      <c r="H4" s="8" t="s">
        <v>51</v>
      </c>
      <c r="I4" s="8" t="s">
        <v>52</v>
      </c>
      <c r="J4" s="8" t="s">
        <v>18</v>
      </c>
      <c r="K4" s="8" t="s">
        <v>53</v>
      </c>
      <c r="L4" s="8" t="s">
        <v>75</v>
      </c>
      <c r="M4" s="8" t="s">
        <v>9</v>
      </c>
      <c r="N4" s="8" t="s">
        <v>76</v>
      </c>
    </row>
    <row r="5" customFormat="false" ht="108" hidden="false" customHeight="true" outlineLevel="0" collapsed="false">
      <c r="A5" s="7" t="s">
        <v>77</v>
      </c>
      <c r="B5" s="8" t="s">
        <v>78</v>
      </c>
      <c r="C5" s="8" t="s">
        <v>79</v>
      </c>
      <c r="D5" s="8" t="s">
        <v>47</v>
      </c>
      <c r="E5" s="8" t="s">
        <v>80</v>
      </c>
      <c r="F5" s="8" t="s">
        <v>81</v>
      </c>
      <c r="G5" s="8" t="s">
        <v>82</v>
      </c>
      <c r="H5" s="8" t="s">
        <v>63</v>
      </c>
      <c r="I5" s="8" t="s">
        <v>64</v>
      </c>
      <c r="J5" s="8" t="s">
        <v>18</v>
      </c>
      <c r="K5" s="8" t="s">
        <v>53</v>
      </c>
      <c r="L5" s="8" t="s">
        <v>83</v>
      </c>
      <c r="M5" s="8" t="s">
        <v>9</v>
      </c>
      <c r="N5" s="8"/>
    </row>
    <row r="6" customFormat="false" ht="108" hidden="false" customHeight="true" outlineLevel="0" collapsed="false">
      <c r="A6" s="7" t="s">
        <v>84</v>
      </c>
      <c r="B6" s="8" t="s">
        <v>85</v>
      </c>
      <c r="C6" s="8" t="s">
        <v>86</v>
      </c>
      <c r="D6" s="8" t="s">
        <v>87</v>
      </c>
      <c r="E6" s="8" t="s">
        <v>88</v>
      </c>
      <c r="F6" s="8" t="s">
        <v>89</v>
      </c>
      <c r="G6" s="8" t="s">
        <v>90</v>
      </c>
      <c r="H6" s="8" t="s">
        <v>63</v>
      </c>
      <c r="I6" s="8" t="s">
        <v>91</v>
      </c>
      <c r="J6" s="8" t="s">
        <v>20</v>
      </c>
      <c r="K6" s="8" t="s">
        <v>92</v>
      </c>
      <c r="L6" s="8" t="s">
        <v>93</v>
      </c>
      <c r="M6" s="8" t="s">
        <v>9</v>
      </c>
      <c r="N6" s="8"/>
    </row>
    <row r="7" customFormat="false" ht="108" hidden="false" customHeight="true" outlineLevel="0" collapsed="false">
      <c r="A7" s="7" t="s">
        <v>94</v>
      </c>
      <c r="B7" s="8" t="s">
        <v>95</v>
      </c>
      <c r="C7" s="8" t="s">
        <v>96</v>
      </c>
      <c r="D7" s="8" t="s">
        <v>97</v>
      </c>
      <c r="E7" s="8" t="s">
        <v>98</v>
      </c>
      <c r="F7" s="8" t="s">
        <v>99</v>
      </c>
      <c r="G7" s="8" t="s">
        <v>100</v>
      </c>
      <c r="H7" s="8" t="s">
        <v>51</v>
      </c>
      <c r="I7" s="8" t="s">
        <v>64</v>
      </c>
      <c r="J7" s="8" t="s">
        <v>18</v>
      </c>
      <c r="K7" s="8" t="s">
        <v>101</v>
      </c>
      <c r="L7" s="8" t="s">
        <v>102</v>
      </c>
      <c r="M7" s="8" t="s">
        <v>9</v>
      </c>
      <c r="N7" s="8" t="s">
        <v>103</v>
      </c>
    </row>
    <row r="8" customFormat="false" ht="108" hidden="false" customHeight="true" outlineLevel="0" collapsed="false">
      <c r="A8" s="7" t="s">
        <v>104</v>
      </c>
      <c r="B8" s="8" t="s">
        <v>105</v>
      </c>
      <c r="C8" s="8" t="s">
        <v>106</v>
      </c>
      <c r="D8" s="8" t="s">
        <v>107</v>
      </c>
      <c r="E8" s="8" t="s">
        <v>108</v>
      </c>
      <c r="F8" s="8" t="s">
        <v>109</v>
      </c>
      <c r="G8" s="8" t="s">
        <v>110</v>
      </c>
      <c r="H8" s="8" t="s">
        <v>63</v>
      </c>
      <c r="I8" s="8" t="s">
        <v>52</v>
      </c>
      <c r="J8" s="8" t="s">
        <v>18</v>
      </c>
      <c r="K8" s="8" t="s">
        <v>101</v>
      </c>
      <c r="L8" s="8" t="s">
        <v>111</v>
      </c>
      <c r="M8" s="8" t="s">
        <v>9</v>
      </c>
      <c r="N8" s="8" t="s">
        <v>112</v>
      </c>
    </row>
    <row r="9" customFormat="false" ht="108" hidden="false" customHeight="true" outlineLevel="0" collapsed="false">
      <c r="A9" s="7" t="s">
        <v>113</v>
      </c>
      <c r="B9" s="8" t="s">
        <v>114</v>
      </c>
      <c r="C9" s="8" t="s">
        <v>115</v>
      </c>
      <c r="D9" s="8" t="s">
        <v>116</v>
      </c>
      <c r="E9" s="8" t="s">
        <v>117</v>
      </c>
      <c r="F9" s="8" t="s">
        <v>118</v>
      </c>
      <c r="G9" s="8" t="s">
        <v>119</v>
      </c>
      <c r="H9" s="8" t="s">
        <v>63</v>
      </c>
      <c r="I9" s="8" t="s">
        <v>91</v>
      </c>
      <c r="J9" s="8" t="s">
        <v>18</v>
      </c>
      <c r="K9" s="8" t="s">
        <v>101</v>
      </c>
      <c r="L9" s="8" t="s">
        <v>120</v>
      </c>
      <c r="M9" s="8" t="s">
        <v>9</v>
      </c>
      <c r="N9" s="8" t="s">
        <v>121</v>
      </c>
    </row>
    <row r="10" customFormat="false" ht="108" hidden="false" customHeight="true" outlineLevel="0" collapsed="false">
      <c r="A10" s="7" t="s">
        <v>122</v>
      </c>
      <c r="B10" s="8" t="s">
        <v>123</v>
      </c>
      <c r="C10" s="8" t="s">
        <v>124</v>
      </c>
      <c r="D10" s="8" t="s">
        <v>97</v>
      </c>
      <c r="E10" s="8" t="s">
        <v>125</v>
      </c>
      <c r="F10" s="8" t="s">
        <v>126</v>
      </c>
      <c r="G10" s="8" t="s">
        <v>127</v>
      </c>
      <c r="H10" s="8" t="s">
        <v>63</v>
      </c>
      <c r="I10" s="8" t="s">
        <v>64</v>
      </c>
      <c r="J10" s="8" t="s">
        <v>18</v>
      </c>
      <c r="K10" s="8" t="s">
        <v>101</v>
      </c>
      <c r="L10" s="8" t="s">
        <v>128</v>
      </c>
      <c r="M10" s="8" t="s">
        <v>9</v>
      </c>
      <c r="N10" s="8"/>
    </row>
    <row r="11" customFormat="false" ht="108" hidden="false" customHeight="true" outlineLevel="0" collapsed="false">
      <c r="A11" s="9" t="s">
        <v>129</v>
      </c>
      <c r="B11" s="10" t="s">
        <v>130</v>
      </c>
      <c r="C11" s="10" t="s">
        <v>131</v>
      </c>
      <c r="D11" s="10" t="s">
        <v>132</v>
      </c>
      <c r="E11" s="10" t="s">
        <v>133</v>
      </c>
      <c r="F11" s="10" t="s">
        <v>134</v>
      </c>
      <c r="G11" s="10" t="s">
        <v>135</v>
      </c>
      <c r="H11" s="10" t="s">
        <v>63</v>
      </c>
      <c r="I11" s="10" t="s">
        <v>64</v>
      </c>
      <c r="J11" s="10" t="s">
        <v>22</v>
      </c>
      <c r="K11" s="10" t="s">
        <v>136</v>
      </c>
      <c r="L11" s="10" t="s">
        <v>137</v>
      </c>
      <c r="M11" s="10" t="s">
        <v>9</v>
      </c>
      <c r="N11" s="10" t="s">
        <v>138</v>
      </c>
    </row>
  </sheetData>
  <autoFilter ref="A1:N1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14"/>
    <col collapsed="false" customWidth="true" hidden="false" outlineLevel="0" max="4" min="4" style="0" width="20"/>
  </cols>
  <sheetData>
    <row r="1" customFormat="false" ht="17.35" hidden="false" customHeight="false" outlineLevel="0" collapsed="false">
      <c r="A1" s="11" t="s">
        <v>139</v>
      </c>
    </row>
    <row r="3" customFormat="false" ht="15" hidden="false" customHeight="false" outlineLevel="0" collapsed="false">
      <c r="A3" s="12" t="s">
        <v>40</v>
      </c>
      <c r="B3" s="12" t="s">
        <v>33</v>
      </c>
      <c r="C3" s="12" t="s">
        <v>39</v>
      </c>
      <c r="D3" s="12" t="s">
        <v>140</v>
      </c>
    </row>
    <row r="4" customFormat="false" ht="15" hidden="false" customHeight="false" outlineLevel="0" collapsed="false">
      <c r="A4" s="13" t="s">
        <v>141</v>
      </c>
      <c r="B4" s="13" t="s">
        <v>142</v>
      </c>
      <c r="C4" s="13" t="s">
        <v>143</v>
      </c>
      <c r="D4" s="13" t="n">
        <v>0</v>
      </c>
    </row>
    <row r="5" customFormat="false" ht="15" hidden="false" customHeight="false" outlineLevel="0" collapsed="false">
      <c r="A5" s="13" t="s">
        <v>53</v>
      </c>
      <c r="B5" s="13" t="s">
        <v>144</v>
      </c>
      <c r="C5" s="13" t="s">
        <v>143</v>
      </c>
      <c r="D5" s="13" t="n">
        <v>14</v>
      </c>
    </row>
    <row r="6" customFormat="false" ht="15" hidden="false" customHeight="false" outlineLevel="0" collapsed="false">
      <c r="A6" s="13" t="s">
        <v>101</v>
      </c>
      <c r="B6" s="13" t="s">
        <v>145</v>
      </c>
      <c r="C6" s="13" t="s">
        <v>143</v>
      </c>
      <c r="D6" s="13" t="n">
        <v>6</v>
      </c>
    </row>
    <row r="7" customFormat="false" ht="15" hidden="false" customHeight="false" outlineLevel="0" collapsed="false">
      <c r="A7" s="13" t="s">
        <v>136</v>
      </c>
      <c r="B7" s="13" t="s">
        <v>146</v>
      </c>
      <c r="C7" s="13" t="s">
        <v>147</v>
      </c>
      <c r="D7" s="13" t="n">
        <v>0</v>
      </c>
    </row>
    <row r="8" customFormat="false" ht="15" hidden="false" customHeight="false" outlineLevel="0" collapsed="false">
      <c r="A8" s="13" t="s">
        <v>148</v>
      </c>
      <c r="B8" s="13" t="s">
        <v>149</v>
      </c>
      <c r="C8" s="13" t="s">
        <v>147</v>
      </c>
      <c r="D8" s="13" t="n">
        <v>0</v>
      </c>
    </row>
    <row r="9" customFormat="false" ht="15" hidden="false" customHeight="false" outlineLevel="0" collapsed="false">
      <c r="A9" s="13" t="s">
        <v>65</v>
      </c>
      <c r="B9" s="13" t="s">
        <v>150</v>
      </c>
      <c r="C9" s="13" t="s">
        <v>147</v>
      </c>
      <c r="D9" s="13" t="n">
        <v>0</v>
      </c>
    </row>
    <row r="10" customFormat="false" ht="15" hidden="false" customHeight="false" outlineLevel="0" collapsed="false">
      <c r="A10" s="13" t="s">
        <v>151</v>
      </c>
      <c r="B10" s="13" t="s">
        <v>152</v>
      </c>
      <c r="C10" s="13" t="s">
        <v>147</v>
      </c>
      <c r="D10" s="13" t="n">
        <v>0</v>
      </c>
    </row>
    <row r="11" customFormat="false" ht="15" hidden="false" customHeight="false" outlineLevel="0" collapsed="false">
      <c r="A11" s="13" t="s">
        <v>92</v>
      </c>
      <c r="B11" s="13" t="s">
        <v>153</v>
      </c>
      <c r="C11" s="13" t="s">
        <v>147</v>
      </c>
      <c r="D11" s="13" t="n">
        <v>0</v>
      </c>
    </row>
    <row r="12" customFormat="false" ht="15" hidden="false" customHeight="false" outlineLevel="0" collapsed="false">
      <c r="A12" s="13" t="s">
        <v>154</v>
      </c>
      <c r="B12" s="13" t="s">
        <v>155</v>
      </c>
      <c r="C12" s="13" t="s">
        <v>147</v>
      </c>
      <c r="D12" s="13" t="n">
        <v>0</v>
      </c>
    </row>
    <row r="13" customFormat="false" ht="15" hidden="false" customHeight="false" outlineLevel="0" collapsed="false">
      <c r="A13" s="14" t="s">
        <v>156</v>
      </c>
      <c r="B13" s="15"/>
      <c r="C13" s="15"/>
      <c r="D13" s="14" t="n">
        <f aca="false">SUM(D4:D12)</f>
        <v>20</v>
      </c>
    </row>
    <row r="15" customFormat="false" ht="15" hidden="false" customHeight="false" outlineLevel="0" collapsed="false">
      <c r="A15" s="16" t="s">
        <v>157</v>
      </c>
    </row>
    <row r="16" customFormat="false" ht="15" hidden="false" customHeight="false" outlineLevel="0" collapsed="false">
      <c r="A16" s="17" t="s">
        <v>158</v>
      </c>
      <c r="B16" s="18" t="n">
        <f aca="false">COUNTA(Incidents!A2:A11)</f>
        <v>10</v>
      </c>
    </row>
    <row r="17" customFormat="false" ht="15" hidden="false" customHeight="false" outlineLevel="0" collapsed="false">
      <c r="A17" s="17" t="s">
        <v>51</v>
      </c>
      <c r="B17" s="18" t="n">
        <f aca="false">COUNTIF(Incidents!H2:H11,"Machine-evaluated")</f>
        <v>3</v>
      </c>
    </row>
    <row r="18" customFormat="false" ht="15" hidden="false" customHeight="false" outlineLevel="0" collapsed="false">
      <c r="A18" s="17" t="s">
        <v>159</v>
      </c>
      <c r="B18" s="18" t="n">
        <f aca="false">COUNTIF(Incidents!H2:H11,"Reasoned")</f>
        <v>7</v>
      </c>
    </row>
    <row r="19" customFormat="false" ht="15" hidden="false" customHeight="false" outlineLevel="0" collapsed="false">
      <c r="A19" s="17" t="s">
        <v>160</v>
      </c>
      <c r="B19" s="18" t="n">
        <f aca="false">COUNTIF(Incidents!I2:I11,"High")</f>
        <v>3</v>
      </c>
    </row>
    <row r="20" customFormat="false" ht="15" hidden="false" customHeight="false" outlineLevel="0" collapsed="false">
      <c r="A20" s="17" t="s">
        <v>161</v>
      </c>
      <c r="B20" s="18" t="n">
        <f aca="false">COUNTIF(Incidents!I2:I11,"Medium")</f>
        <v>5</v>
      </c>
    </row>
    <row r="21" customFormat="false" ht="15" hidden="false" customHeight="false" outlineLevel="0" collapsed="false">
      <c r="A21" s="17" t="s">
        <v>162</v>
      </c>
      <c r="B21" s="18" t="n">
        <f aca="false">COUNTIF(Incidents!I2:I11,"Low")</f>
        <v>2</v>
      </c>
    </row>
    <row r="22" customFormat="false" ht="15" hidden="false" customHeight="false" outlineLevel="0" collapsed="false">
      <c r="A22" s="17" t="s">
        <v>163</v>
      </c>
      <c r="B22" s="18" t="n">
        <f aca="false">COUNTIF(Incidents!J2:J11,"Open")</f>
        <v>7</v>
      </c>
    </row>
    <row r="23" customFormat="false" ht="15" hidden="false" customHeight="false" outlineLevel="0" collapsed="false">
      <c r="A23" s="17" t="s">
        <v>164</v>
      </c>
      <c r="B23" s="18" t="n">
        <f aca="false">COUNTIF(Incidents!J2:J11,"Not yet encoded")</f>
        <v>2</v>
      </c>
    </row>
    <row r="24" customFormat="false" ht="15" hidden="false" customHeight="false" outlineLevel="0" collapsed="false">
      <c r="A24" s="17" t="s">
        <v>165</v>
      </c>
      <c r="B24" s="18" t="n">
        <f aca="false">COUNTIF(Incidents!J2:J11,"Candidate")</f>
        <v>1</v>
      </c>
    </row>
    <row r="25" customFormat="false" ht="15" hidden="false" customHeight="false" outlineLevel="0" collapsed="false">
      <c r="A25" s="17" t="s">
        <v>166</v>
      </c>
      <c r="B25" s="18" t="n">
        <f aca="false">COUNTIF(Incidents!J2:J11,"Resolved")</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2026-09-11T06:38:17Z</dcterms:created>
  <dc:creator>openpyxl</dc:creator>
  <dc:description/>
  <dc:language>en-SG</dc:language>
  <cp:lastModifiedBy/>
  <dcterms:modified xsi:type="dcterms:W3CDTF">2026-09-11T06:38:17Z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