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Incidents" sheetId="2" state="visible" r:id="rId4"/>
    <sheet name="Coverage" sheetId="3" state="visible" r:id="rId5"/>
  </sheets>
  <definedNames>
    <definedName function="false" hidden="true" localSheetId="1" name="_xlnm._FilterDatabase" vbProcedure="false">Incidents!$A$1:$N$16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<sst xmlns="http://schemas.openxmlformats.org/spreadsheetml/2006/main" count="297" uniqueCount="211">
  <si>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</si>
  <si>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</si>
  <si>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</si>
  <si>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</si>
  <si>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</si>
  <si>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</si>
  <si>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</si>
  <si>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</si>
  <si>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</si>
  <si>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</si>
  <si>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</si>
  <si>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</si>
  <si>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</si>
  <si>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</si>
  <si>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Probe numbers refer to the numbered list in the subject's NOTES.md, which is the prose record.</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</si>
  <si>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</si>
  <si>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</si>
  <si>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</si>
  <si>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</si>
  <si>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</si>
  <si>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</si>
  <si>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</si>
  <si>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</si>
  <si>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</si>
  <si>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</si>
  <si>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</si>
  <si>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</si>
  <si>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</si>
  <si>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</si>
  <si>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</si>
  <si>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</si>
  <si>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</si>
  <si>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ID</t>
  </si>
  <si>
    <t xml:space="preserve">Clauses</t>
  </si>
  <si>
    <t xml:space="preserve">Title</t>
  </si>
  <si>
    <t xml:space="preserve">Category</t>
  </si>
  <si>
    <t xml:space="preserve">Description</t>
  </si>
  <si>
    <t xml:space="preserve">Consequence</t>
  </si>
  <si>
    <t xml:space="preserve">Evidence</t>
  </si>
  <si>
    <t xml:space="preserve">Status</t>
  </si>
  <si>
    <t xml:space="preserve">Module</t>
  </si>
  <si>
    <t xml:space="preserve">NOTES ref</t>
  </si>
  <si>
    <t xml:space="preserve">Raised</t>
  </si>
  <si>
    <t xml:space="preserve">Notes</t>
  </si>
  <si>
    <t xml:space="preserve">OS-001</t>
  </si>
  <si>
    <t xml:space="preserve">cl 5(1)(b), cl 5(2)</t>
  </si>
  <si>
    <t xml:space="preserve">Excluded-service carve-out attaches only to limb (a)</t>
  </si>
  <si>
    <t xml:space="preserve">Scope gap</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</si>
  <si>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</si>
  <si>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</si>
  <si>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</si>
  <si>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</si>
  <si>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High</t>
  </si>
  <si>
    <t xml:space="preserve">part-1-preliminary.l4</t>
  </si>
  <si>
    <t xml:space="preserve">Probe 1</t>
  </si>
  <si>
    <t xml:space="preserve">If intended, under-signposted; if not, a gap.</t>
  </si>
  <si>
    <t xml:space="preserve">OS-002</t>
  </si>
  <si>
    <t xml:space="preserve">cl 34(3)(a)-(i), cll 45-47</t>
  </si>
  <si>
    <t xml:space="preserve">Tier partition over specified liability acts - verified, no defect</t>
  </si>
  <si>
    <t xml:space="preserve">Consistency check</t>
  </si>
  <si>
    <t xml:space="preserve">cll 45-47 route cl 34(3)(a)-(c) to Tier 1, (d)-(g) to Tier 2, and (h)-(i) to Tier 3. The partition appears total and disjoint on its face but has not been machine-checked.</t>
  </si>
  <si>
    <t xml:space="preserve">None on the text as drafted. The partition is total and disjoint. Recorded because it is prospective cover: if a paragraph is added to cl 34(3) without amending cll 45-47, the encoding fails to typecheck rather than leaving the new act unpenalised.</t>
  </si>
  <si>
    <t xml:space="preserve">part-3-subpart-3-remedies.l4: `the tier for` is a total function over the specified liability act enum; nine #ASSERT directives pin each act to its tier. All nine hold.</t>
  </si>
  <si>
    <t xml:space="preserve">None</t>
  </si>
  <si>
    <t xml:space="preserve">Verified - no defect</t>
  </si>
  <si>
    <t xml:space="preserve">part-3-subpart-3-remedies.l4</t>
  </si>
  <si>
    <t xml:space="preserve">Probe 2</t>
  </si>
  <si>
    <t xml:space="preserve">Negative result, retained as evidence of coverage.</t>
  </si>
  <si>
    <t xml:space="preserve">OS-003</t>
  </si>
  <si>
    <t xml:space="preserve">cl 6(1), cl 6(2)</t>
  </si>
  <si>
    <t xml:space="preserve">A section 7 designation displaces the company that actually runs the platform</t>
  </si>
  <si>
    <t xml:space="preserve">Liability gap</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</si>
  <si>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</si>
  <si>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</si>
  <si>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</si>
  <si>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Probe 3</t>
  </si>
  <si>
    <t xml:space="preserve">Consider a savings provision for accrued duties.</t>
  </si>
  <si>
    <t xml:space="preserve">OS-004</t>
  </si>
  <si>
    <t xml:space="preserve">cl 7(1)(a), cl 7(1)(b)</t>
  </si>
  <si>
    <t xml:space="preserve">Designation power cannot reach a controller outside both limbs</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</si>
  <si>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</si>
  <si>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</si>
  <si>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</si>
  <si>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Reasoned</t>
  </si>
  <si>
    <t xml:space="preserve">Medium</t>
  </si>
  <si>
    <t xml:space="preserve">Probe 3 (second limb)</t>
  </si>
  <si>
    <t xml:space="preserve">OS-005</t>
  </si>
  <si>
    <t xml:space="preserve">cl 5(1)(c), cl 61, cl 62</t>
  </si>
  <si>
    <t xml:space="preserve">Exemption route reaches regulation-added platforms - verified, no defect</t>
  </si>
  <si>
    <t xml:space="preserve">Three routes bring a service into scope: the cl 5(1)(a) and (b) tests, cl 62 regulations under cl 5(1)(c), and cl 7 designation of an operator. cl 61 exemption orders are the route out.</t>
  </si>
  <si>
    <t xml:space="preserve">None. cl 61(1)(a) exempts an operator of an age-restricted platform, and a service specified under cl 62(1)(a) is an age-restricted platform by force of cl 5(1)(c), so the exemption route reaches it. Encoding cl 62 did show that each limb of cl 62(1) carries its own satisfaction test - cl 62(4) for (a) and (b), cl 62(6) for (c) - and they are not interchangeable.</t>
  </si>
  <si>
    <t xml:space="preserve">part-3-subpart-5-other.l4: #ASSERT shows a cl 62(1)(c) recommendation failing where only the cl 62(4) test is satisfied, and succeeding for a cl 62(1)(a) recommendation on that test.</t>
  </si>
  <si>
    <t xml:space="preserve">part-3-subpart-5-other.l4</t>
  </si>
  <si>
    <t xml:space="preserve">Probe 4</t>
  </si>
  <si>
    <t xml:space="preserve">OS-006</t>
  </si>
  <si>
    <t xml:space="preserve">cl 11(1), cl 11(2), cl 11(3)</t>
  </si>
  <si>
    <t xml:space="preserve">The minimum age duty states only which methods fail</t>
  </si>
  <si>
    <t xml:space="preserve">Definitional openness</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</si>
  <si>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</si>
  <si>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</si>
  <si>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</si>
  <si>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</si>
  <si>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Probe 5</t>
  </si>
  <si>
    <t xml:space="preserve">May be deliberate; the encoding keeps the residue visible as its own field.</t>
  </si>
  <si>
    <t xml:space="preserve">OS-007</t>
  </si>
  <si>
    <t xml:space="preserve">cl 16(5), cl 34(3)(f), cl 46</t>
  </si>
  <si>
    <t xml:space="preserve">A duty with no time for performance carries Tier 2 liability</t>
  </si>
  <si>
    <t xml:space="preserve">Deadline omission</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</si>
  <si>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</si>
  <si>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</si>
  <si>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</si>
  <si>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Probe 6</t>
  </si>
  <si>
    <t xml:space="preserve">cl 19(3)(b) solves the same problem three clauses later by requiring the notice to specify the date.</t>
  </si>
  <si>
    <t xml:space="preserve">OS-008</t>
  </si>
  <si>
    <t xml:space="preserve">cl 13(3)</t>
  </si>
  <si>
    <t xml:space="preserve">The only duty binding the regulator carries no consequence</t>
  </si>
  <si>
    <t xml:space="preserve">Unenforceable duty</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</si>
  <si>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</si>
  <si>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</si>
  <si>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</si>
  <si>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Low</t>
  </si>
  <si>
    <t xml:space="preserve">Probe 7</t>
  </si>
  <si>
    <t xml:space="preserve">Probably deliberate; worth confirming.</t>
  </si>
  <si>
    <t xml:space="preserve">OS-009</t>
  </si>
  <si>
    <t xml:space="preserve">cl 17(1), cl 17(4)</t>
  </si>
  <si>
    <t xml:space="preserve">'Significant change' is defined inclusively</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</si>
  <si>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</si>
  <si>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</si>
  <si>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</si>
  <si>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Probe 8</t>
  </si>
  <si>
    <t xml:space="preserve">OS-010</t>
  </si>
  <si>
    <t xml:space="preserve">cl 4 (regulator), cl 20(1), cl 20(2)</t>
  </si>
  <si>
    <t xml:space="preserve">The regulator is the chief executive of the department that wrote the Bill</t>
  </si>
  <si>
    <t xml:space="preserve">Structural</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</si>
  <si>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</si>
  <si>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</si>
  <si>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</si>
  <si>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</si>
  <si>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not in NOTES.md</t>
  </si>
  <si>
    <t xml:space="preserve">Raised in discussion 2026-09-11. Include in NOTES.md or discard on review.</t>
  </si>
  <si>
    <t xml:space="preserve">OS-011</t>
  </si>
  <si>
    <t xml:space="preserve">cl 29(2), cl 34(3), cl 30(2)</t>
  </si>
  <si>
    <t xml:space="preserve">Breach of an enforceable undertaking is not a specified liability act</t>
  </si>
  <si>
    <t xml:space="preserve">Enforcement gap</t>
  </si>
  <si>
    <t xml:space="preserve">cl 29(2) provides that an operator must not breach an undertaking that is in force. None of the nine specified liability acts in cl 34(3) is that breach.</t>
  </si>
  <si>
    <t xml:space="preserve">No pecuniary penalty is available under cll 44-47 for breaching an undertaking. The remedies are a cl 30(2) order to comply or discharge, costs under cl 30(3), and - where the underlying act is ongoing - a service restriction order via cl 35(2)(c)(i)(B). The gap is narrower than it looks: cl 29(3)(a) bars proceedings only while the undertaking is in force AND unbreached, so breach lifts the bar on the underlying act. What cannot be penalised is the breach itself.</t>
  </si>
  <si>
    <t xml:space="preserve">part-3-subpart-2-enforcement.l4: #ASSERT 'proceedings are barred by the undertaking' EQUALS TRUE on 'an undertaking in force and kept' and FALSE on 'an undertaking in breach'; cl 34(3) enum in types.l4 contains no undertaking-breach member.</t>
  </si>
  <si>
    <t xml:space="preserve">part-3-subpart-2-enforcement.l4</t>
  </si>
  <si>
    <t xml:space="preserve">Probe 9</t>
  </si>
  <si>
    <t xml:space="preserve">The sanction for breaking a statutory promise is an order to keep it.</t>
  </si>
  <si>
    <t xml:space="preserve">OS-012</t>
  </si>
  <si>
    <t xml:space="preserve">cl 24(2), cl 25(3), cl 33</t>
  </si>
  <si>
    <t xml:space="preserve">The measure with immediate public effect carries the least process</t>
  </si>
  <si>
    <t xml:space="preserve">Procedural asymmetry</t>
  </si>
  <si>
    <t xml:space="preserve">cl 24(2) requires the regulator to publicly notify a warning as soon as reasonably practicable. Nothing in cl 24 requires prior notice to the operator, a statement of the case, or an opportunity to be heard. cl 25(3) requires at least 5 working days' notice and a hearing before the operator can be made to republish that warning; cl 33 requires 10 working days and a hearing before a corrective notice.</t>
  </si>
  <si>
    <t xml:space="preserve">Public naming attracts no process, republishing the naming attracts 5 working days and a hearing, and requiring remedial steps attracts 10. The order of intrusion and the order of procedural protection do not match.</t>
  </si>
  <si>
    <t xml:space="preserve">part-3-subpart-2-enforcement.l4 encodes the cl 25(3) and cl 33 gates, each with its working-day floor; cl 24 has no gate to encode, which is the finding.</t>
  </si>
  <si>
    <t xml:space="preserve">Probe 10</t>
  </si>
  <si>
    <t xml:space="preserve">OS-013</t>
  </si>
  <si>
    <t xml:space="preserve">cl 57(1), cl 18, cl 34(3)(g), cl 46</t>
  </si>
  <si>
    <t xml:space="preserve">The only imprisonable offence is switched off by a lesser civil breach</t>
  </si>
  <si>
    <t xml:space="preserve">cl 57 makes it an offence to confirm the accuracy of a risk assessment knowing it to be false or misleading in a material particular, but only 'an individual designated under section 18' can commit it. If the operator never designates anyone, no individual is within the offence.</t>
  </si>
  <si>
    <t xml:space="preserve">Failing to designate is a cl 34(3)(g) specified liability act routed by cl 46 to Tier 2 - a civil penalty - and committing it extinguishes the criminal exposure of every officer of the operator. cl 57 is the only provision in the Bill carrying imprisonment alongside a fine on an individual for conduct about risk assessments.</t>
  </si>
  <si>
    <t xml:space="preserve">part-3-subpart-4-offences.l4: identical conduct through two fixtures. #ASSERT 'an offence under section 57 is committed' EQUALS TRUE on 'a designated individual who certifies falsely' and EQUALS FALSE on 'an undesignated officer who certifies falsely'.</t>
  </si>
  <si>
    <t xml:space="preserve">part-3-subpart-4-offences.l4</t>
  </si>
  <si>
    <t xml:space="preserve">Probe 11</t>
  </si>
  <si>
    <t xml:space="preserve">Consider extending cl 57 to a person who confirms accuracy whether or not designated.</t>
  </si>
  <si>
    <t xml:space="preserve">OS-014</t>
  </si>
  <si>
    <t xml:space="preserve">cl 61(1)(a), cl 61(3), cl 61(4)</t>
  </si>
  <si>
    <t xml:space="preserve">Exemption from any or all requirements of the Act by Order in Council</t>
  </si>
  <si>
    <t xml:space="preserve">Delegated power</t>
  </si>
  <si>
    <t xml:space="preserve">cl 61(1)(a) is not limited to particular duties. An exemption order may relieve a named operator of 'any or all requirements under this Act', the cl 11 minimum age duty included.</t>
  </si>
  <si>
    <t xml:space="preserve">The controls are the cl 61(2) procedural limbs and a single cl 61(3) satisfaction test that the benefits outweigh the risk to children. No limit on duration, no reasons requirement beyond the secondary-legislation publication rules, no parliamentary confirmation on the face of the Bill.</t>
  </si>
  <si>
    <t xml:space="preserve">part-3-subpart-5-other.l4 encodes cl 61(2) and cl 61(3); the absence of any subject-matter limit in cl 61(1)(a) is the finding.</t>
  </si>
  <si>
    <t xml:space="preserve">Probe 12</t>
  </si>
  <si>
    <t xml:space="preserve">Raise alongside the Regulatory Standards Act 2025 material filed with the Bill.</t>
  </si>
  <si>
    <t xml:space="preserve">OS-015</t>
  </si>
  <si>
    <t xml:space="preserve">cl 11(4), cl 63(2), cl 34(3)(a)</t>
  </si>
  <si>
    <t xml:space="preserve">A prohibition with no consequence, defined by the weakest regulation-making power</t>
  </si>
  <si>
    <t xml:space="preserve">cl 11(4) forbids an operator to collect personal information of a class specified in cl 63 regulations for the purpose of complying with the minimum age duty. cl 34(3)(a) reaches only a failure to take reasonable steps 'in accordance with section 11', which is cl 11(1).</t>
  </si>
  <si>
    <t xml:space="preserve">Breach of cl 11(4) is not a specified liability act, is not an offence under cll 57 to 60, and attracts nothing. The class of forbidden information is set by cl 63 regulations, the only regulation-making power in the Bill with no satisfaction test - cl 63(2) requires advice and consultation and nothing more. A substantive privacy prohibition, least-constrained instrument, no enforcement.</t>
  </si>
  <si>
    <t xml:space="preserve">part-2-duties.l4 decides 'the operator contravenes section 11(4)'; no rule in the remedies or offences modules consumes it.</t>
  </si>
  <si>
    <t xml:space="preserve">Probe 13</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</si>
  <si>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</si>
  <si>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</si>
  <si>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</si>
  <si>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</si>
  <si>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</si>
  <si>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</si>
  <si>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</si>
  <si>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</si>
  <si>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cll 24-33</t>
  </si>
  <si>
    <t xml:space="preserve">cll 34-56</t>
  </si>
  <si>
    <t xml:space="preserve">encoded in part</t>
  </si>
  <si>
    <t xml:space="preserve">cll 57-60</t>
  </si>
  <si>
    <t xml:space="preserve">cll 61-64</t>
  </si>
  <si>
    <t xml:space="preserve">schedule-1-transitional.l4</t>
  </si>
  <si>
    <t xml:space="preserve">Sch 1</t>
  </si>
  <si>
    <t xml:space="preserve">scaffold</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</si>
  <si>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</si>
  <si>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</si>
  <si>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</si>
  <si>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</si>
  <si>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</si>
  <si>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</si>
  <si>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</si>
  <si>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</si>
  <si>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</si>
  <si>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</si>
  <si>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</si>
  <si>
    <t xml:space="preserve">Status Verified - no defect</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</si>
</sst>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b val="true"/>
      <sz val="10"/>
      <color rgb="FFFFFFFF"/>
      <name val="Arial"/>
      <family val="0"/>
      <charset val="1"/>
    </font>
    <font>
      <b val="true"/>
      <sz val="11"/>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05"/>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5"/>
      <c r="B3" s="3"/>
    </row>
    <row r="4" customFormat="false" ht="15" hidden="false" customHeight="true" outlineLevel="0" collapsed="false">
      <c r="A4" s="6" t="s">
        <v>2</v>
      </c>
      <c r="B4" s="3" t="s">
        <v>3</v>
      </c>
    </row>
    <row r="5" customFormat="false" ht="15" hidden="false" customHeight="true" outlineLevel="0" collapsed="false">
      <c r="A5" s="6" t="s">
        <v>4</v>
      </c>
      <c r="B5" s="3" t="s">
        <v>5</v>
      </c>
    </row>
    <row r="6" customFormat="false" ht="15" hidden="false" customHeight="true" outlineLevel="0" collapsed="false">
      <c r="A6" s="6" t="s">
        <v>6</v>
      </c>
      <c r="B6" s="3" t="s">
        <v>7</v>
      </c>
    </row>
    <row r="7" customFormat="false" ht="15" hidden="false" customHeight="true" outlineLevel="0" collapsed="false">
      <c r="A7" s="6" t="s">
        <v>8</v>
      </c>
      <c r="B7" s="3" t="s">
        <v>9</v>
      </c>
    </row>
    <row r="8" customFormat="false" ht="15" hidden="false" customHeight="true" outlineLevel="0" collapsed="false">
      <c r="A8" s="5"/>
      <c r="B8" s="3"/>
    </row>
    <row r="9" customFormat="false" ht="15" hidden="false" customHeight="true" outlineLevel="0" collapsed="false">
      <c r="A9" s="6" t="s">
        <v>10</v>
      </c>
      <c r="B9" s="3"/>
    </row>
    <row r="10" customFormat="false" ht="57.75" hidden="false" customHeight="true" outlineLevel="0" collapsed="false">
      <c r="A10" s="6" t="s">
        <v>11</v>
      </c>
      <c r="B10" s="3" t="s">
        <v>12</v>
      </c>
    </row>
    <row r="11" customFormat="false" ht="57.75" hidden="false" customHeight="true" outlineLevel="0" collapsed="false">
      <c r="A11" s="6" t="s">
        <v>13</v>
      </c>
      <c r="B11" s="3" t="s">
        <v>14</v>
      </c>
    </row>
    <row r="12" customFormat="false" ht="57.75" hidden="false" customHeight="true" outlineLevel="0" collapsed="false">
      <c r="A12" s="6" t="s">
        <v>15</v>
      </c>
      <c r="B12" s="3" t="s">
        <v>16</v>
      </c>
    </row>
    <row r="13" customFormat="false" ht="15" hidden="false" customHeight="true" outlineLevel="0" collapsed="false">
      <c r="A13" s="5"/>
      <c r="B13" s="3"/>
    </row>
    <row r="14" customFormat="false" ht="15" hidden="false" customHeight="true" outlineLevel="0" collapsed="false">
      <c r="A14" s="5" t="s">
        <v>17</v>
      </c>
      <c r="B14" s="3"/>
    </row>
    <row r="15" customFormat="false" ht="15" hidden="false" customHeight="true" outlineLevel="0" collapsed="false">
      <c r="A15" s="6" t="s">
        <v>18</v>
      </c>
      <c r="B15" s="3" t="s">
        <v>19</v>
      </c>
    </row>
    <row r="16" customFormat="false" ht="15" hidden="false" customHeight="true" outlineLevel="0" collapsed="false">
      <c r="A16" s="6" t="s">
        <v>20</v>
      </c>
      <c r="B16" s="3" t="s">
        <v>21</v>
      </c>
    </row>
    <row r="17" customFormat="false" ht="15" hidden="false" customHeight="true" outlineLevel="0" collapsed="false">
      <c r="A17" s="6" t="s">
        <v>22</v>
      </c>
      <c r="B17" s="3" t="s">
        <v>23</v>
      </c>
    </row>
    <row r="18" customFormat="false" ht="15" hidden="false" customHeight="true" outlineLevel="0" collapsed="false">
      <c r="A18" s="6" t="s">
        <v>24</v>
      </c>
      <c r="B18" s="3" t="s">
        <v>25</v>
      </c>
    </row>
    <row r="19" customFormat="false" ht="15" hidden="false" customHeight="true" outlineLevel="0" collapsed="false">
      <c r="A19" s="5"/>
      <c r="B19" s="3"/>
    </row>
    <row r="20" customFormat="false" ht="15" hidden="false" customHeight="true" outlineLevel="0" collapsed="false">
      <c r="A20" s="5" t="s">
        <v>26</v>
      </c>
      <c r="B20" s="3"/>
    </row>
    <row r="21" customFormat="false" ht="34.5" hidden="false" customHeight="true" outlineLevel="0" collapsed="false">
      <c r="A21" s="6"/>
      <c r="B21" s="3" t="s">
        <v>27</v>
      </c>
    </row>
    <row r="22" customFormat="false" ht="57.75" hidden="false" customHeight="true" outlineLevel="0" collapsed="false">
      <c r="A22" s="5"/>
      <c r="B22" s="3"/>
    </row>
    <row r="23" customFormat="false" ht="34.5" hidden="false" customHeight="true" outlineLevel="0" collapsed="false">
      <c r="A23" s="6" t="s">
        <v>28</v>
      </c>
      <c r="B23" s="3" t="s">
        <v>29</v>
      </c>
    </row>
    <row r="24" customFormat="false" ht="24" hidden="false" customHeight="true" outlineLevel="0" collapsed="false">
      <c r="A24" s="6" t="s">
        <v>30</v>
      </c>
      <c r="B24" s="3"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2"/>
    <col collapsed="false" customWidth="true" hidden="false" outlineLevel="0" max="4" min="4" style="1" width="20"/>
    <col collapsed="false" customWidth="true" hidden="false" outlineLevel="0" max="6" min="5" style="1" width="62"/>
    <col collapsed="false" customWidth="true" hidden="false" outlineLevel="0" max="7" min="7" style="1" width="52"/>
    <col collapsed="false" customWidth="true" hidden="false" outlineLevel="0" max="8" min="8" style="1" width="16"/>
    <col collapsed="false" customWidth="true" hidden="false" outlineLevel="0" max="9" min="9" style="1" width="10"/>
    <col collapsed="false" customWidth="true" hidden="false" outlineLevel="0" max="10" min="10" style="1" width="16"/>
    <col collapsed="false" customWidth="true" hidden="false" outlineLevel="0" max="11" min="11" style="1" width="30"/>
    <col collapsed="false" customWidth="true" hidden="false" outlineLevel="0" max="12" min="12" style="1" width="20"/>
    <col collapsed="false" customWidth="true" hidden="false" outlineLevel="0" max="13" min="13" style="1" width="12"/>
    <col collapsed="false" customWidth="true" hidden="false" outlineLevel="0" max="14" min="14" style="1" width="46"/>
  </cols>
  <sheetData>
    <row r="1" customFormat="false" ht="15" hidden="false" customHeight="true" outlineLevel="0" collapsed="false">
      <c r="A1" s="7" t="s">
        <v>32</v>
      </c>
      <c r="B1" s="7" t="s">
        <v>33</v>
      </c>
      <c r="C1" s="7" t="s">
        <v>34</v>
      </c>
      <c r="D1" s="7" t="s">
        <v>35</v>
      </c>
      <c r="E1" s="7" t="s">
        <v>36</v>
      </c>
      <c r="F1" s="7" t="s">
        <v>37</v>
      </c>
      <c r="G1" s="7" t="s">
        <v>38</v>
      </c>
      <c r="H1" s="7" t="s">
        <v>15</v>
      </c>
      <c r="I1" s="7" t="s">
        <v>26</v>
      </c>
      <c r="J1" s="7" t="s">
        <v>39</v>
      </c>
      <c r="K1" s="7" t="s">
        <v>40</v>
      </c>
      <c r="L1" s="7" t="s">
        <v>41</v>
      </c>
      <c r="M1" s="7" t="s">
        <v>42</v>
      </c>
      <c r="N1" s="7" t="s">
        <v>43</v>
      </c>
    </row>
    <row r="2" customFormat="false" ht="108" hidden="false" customHeight="true" outlineLevel="0" collapsed="false">
      <c r="A2" s="8" t="s">
        <v>44</v>
      </c>
      <c r="B2" s="9" t="s">
        <v>45</v>
      </c>
      <c r="C2" s="9" t="s">
        <v>46</v>
      </c>
      <c r="D2" s="9" t="s">
        <v>47</v>
      </c>
      <c r="E2" s="9" t="s">
        <v>48</v>
      </c>
      <c r="F2" s="9" t="s">
        <v>49</v>
      </c>
      <c r="G2" s="9" t="s">
        <v>50</v>
      </c>
      <c r="H2" s="9" t="s">
        <v>51</v>
      </c>
      <c r="I2" s="9" t="s">
        <v>52</v>
      </c>
      <c r="J2" s="9" t="s">
        <v>18</v>
      </c>
      <c r="K2" s="9" t="s">
        <v>53</v>
      </c>
      <c r="L2" s="9" t="s">
        <v>54</v>
      </c>
      <c r="M2" s="9" t="s">
        <v>9</v>
      </c>
      <c r="N2" s="9" t="s">
        <v>55</v>
      </c>
    </row>
    <row r="3" customFormat="false" ht="108" hidden="false" customHeight="true" outlineLevel="0" collapsed="false">
      <c r="A3" s="8" t="s">
        <v>56</v>
      </c>
      <c r="B3" s="9" t="s">
        <v>57</v>
      </c>
      <c r="C3" s="9" t="s">
        <v>58</v>
      </c>
      <c r="D3" s="9" t="s">
        <v>59</v>
      </c>
      <c r="E3" s="9" t="s">
        <v>60</v>
      </c>
      <c r="F3" s="9" t="s">
        <v>61</v>
      </c>
      <c r="G3" s="9" t="s">
        <v>62</v>
      </c>
      <c r="H3" s="9" t="s">
        <v>51</v>
      </c>
      <c r="I3" s="9" t="s">
        <v>63</v>
      </c>
      <c r="J3" s="9" t="s">
        <v>64</v>
      </c>
      <c r="K3" s="9" t="s">
        <v>65</v>
      </c>
      <c r="L3" s="9" t="s">
        <v>66</v>
      </c>
      <c r="M3" s="9" t="s">
        <v>9</v>
      </c>
      <c r="N3" s="9" t="s">
        <v>67</v>
      </c>
    </row>
    <row r="4" customFormat="false" ht="108" hidden="false" customHeight="true" outlineLevel="0" collapsed="false">
      <c r="A4" s="8" t="s">
        <v>68</v>
      </c>
      <c r="B4" s="9" t="s">
        <v>69</v>
      </c>
      <c r="C4" s="9" t="s">
        <v>70</v>
      </c>
      <c r="D4" s="9" t="s">
        <v>71</v>
      </c>
      <c r="E4" s="9" t="s">
        <v>72</v>
      </c>
      <c r="F4" s="9" t="s">
        <v>73</v>
      </c>
      <c r="G4" s="9" t="s">
        <v>74</v>
      </c>
      <c r="H4" s="9" t="s">
        <v>51</v>
      </c>
      <c r="I4" s="9" t="s">
        <v>52</v>
      </c>
      <c r="J4" s="9" t="s">
        <v>18</v>
      </c>
      <c r="K4" s="9" t="s">
        <v>53</v>
      </c>
      <c r="L4" s="9" t="s">
        <v>75</v>
      </c>
      <c r="M4" s="9" t="s">
        <v>9</v>
      </c>
      <c r="N4" s="9" t="s">
        <v>76</v>
      </c>
    </row>
    <row r="5" customFormat="false" ht="108" hidden="false" customHeight="true" outlineLevel="0" collapsed="false">
      <c r="A5" s="8" t="s">
        <v>77</v>
      </c>
      <c r="B5" s="9" t="s">
        <v>78</v>
      </c>
      <c r="C5" s="9" t="s">
        <v>79</v>
      </c>
      <c r="D5" s="9" t="s">
        <v>47</v>
      </c>
      <c r="E5" s="9" t="s">
        <v>80</v>
      </c>
      <c r="F5" s="9" t="s">
        <v>81</v>
      </c>
      <c r="G5" s="9" t="s">
        <v>82</v>
      </c>
      <c r="H5" s="9" t="s">
        <v>83</v>
      </c>
      <c r="I5" s="9" t="s">
        <v>84</v>
      </c>
      <c r="J5" s="9" t="s">
        <v>18</v>
      </c>
      <c r="K5" s="9" t="s">
        <v>53</v>
      </c>
      <c r="L5" s="9" t="s">
        <v>85</v>
      </c>
      <c r="M5" s="9" t="s">
        <v>9</v>
      </c>
      <c r="N5" s="9"/>
    </row>
    <row r="6" customFormat="false" ht="108" hidden="false" customHeight="true" outlineLevel="0" collapsed="false">
      <c r="A6" s="8" t="s">
        <v>86</v>
      </c>
      <c r="B6" s="9" t="s">
        <v>87</v>
      </c>
      <c r="C6" s="9" t="s">
        <v>88</v>
      </c>
      <c r="D6" s="9" t="s">
        <v>59</v>
      </c>
      <c r="E6" s="9" t="s">
        <v>89</v>
      </c>
      <c r="F6" s="9" t="s">
        <v>90</v>
      </c>
      <c r="G6" s="9" t="s">
        <v>91</v>
      </c>
      <c r="H6" s="9" t="s">
        <v>51</v>
      </c>
      <c r="I6" s="9" t="s">
        <v>63</v>
      </c>
      <c r="J6" s="9" t="s">
        <v>64</v>
      </c>
      <c r="K6" s="9" t="s">
        <v>92</v>
      </c>
      <c r="L6" s="9" t="s">
        <v>93</v>
      </c>
      <c r="M6" s="9" t="s">
        <v>9</v>
      </c>
      <c r="N6" s="9" t="s">
        <v>67</v>
      </c>
    </row>
    <row r="7" customFormat="false" ht="108" hidden="false" customHeight="true" outlineLevel="0" collapsed="false">
      <c r="A7" s="8" t="s">
        <v>94</v>
      </c>
      <c r="B7" s="9" t="s">
        <v>95</v>
      </c>
      <c r="C7" s="9" t="s">
        <v>96</v>
      </c>
      <c r="D7" s="9" t="s">
        <v>97</v>
      </c>
      <c r="E7" s="9" t="s">
        <v>98</v>
      </c>
      <c r="F7" s="9" t="s">
        <v>99</v>
      </c>
      <c r="G7" s="9" t="s">
        <v>100</v>
      </c>
      <c r="H7" s="9" t="s">
        <v>51</v>
      </c>
      <c r="I7" s="9" t="s">
        <v>84</v>
      </c>
      <c r="J7" s="9" t="s">
        <v>18</v>
      </c>
      <c r="K7" s="9" t="s">
        <v>101</v>
      </c>
      <c r="L7" s="9" t="s">
        <v>102</v>
      </c>
      <c r="M7" s="9" t="s">
        <v>9</v>
      </c>
      <c r="N7" s="9" t="s">
        <v>103</v>
      </c>
    </row>
    <row r="8" customFormat="false" ht="108" hidden="false" customHeight="true" outlineLevel="0" collapsed="false">
      <c r="A8" s="8" t="s">
        <v>104</v>
      </c>
      <c r="B8" s="9" t="s">
        <v>105</v>
      </c>
      <c r="C8" s="9" t="s">
        <v>106</v>
      </c>
      <c r="D8" s="9" t="s">
        <v>107</v>
      </c>
      <c r="E8" s="9" t="s">
        <v>108</v>
      </c>
      <c r="F8" s="9" t="s">
        <v>109</v>
      </c>
      <c r="G8" s="9" t="s">
        <v>110</v>
      </c>
      <c r="H8" s="9" t="s">
        <v>83</v>
      </c>
      <c r="I8" s="9" t="s">
        <v>52</v>
      </c>
      <c r="J8" s="9" t="s">
        <v>18</v>
      </c>
      <c r="K8" s="9" t="s">
        <v>101</v>
      </c>
      <c r="L8" s="9" t="s">
        <v>111</v>
      </c>
      <c r="M8" s="9" t="s">
        <v>9</v>
      </c>
      <c r="N8" s="9" t="s">
        <v>112</v>
      </c>
    </row>
    <row r="9" customFormat="false" ht="108" hidden="false" customHeight="true" outlineLevel="0" collapsed="false">
      <c r="A9" s="8" t="s">
        <v>113</v>
      </c>
      <c r="B9" s="9" t="s">
        <v>114</v>
      </c>
      <c r="C9" s="9" t="s">
        <v>115</v>
      </c>
      <c r="D9" s="9" t="s">
        <v>116</v>
      </c>
      <c r="E9" s="9" t="s">
        <v>117</v>
      </c>
      <c r="F9" s="9" t="s">
        <v>118</v>
      </c>
      <c r="G9" s="9" t="s">
        <v>119</v>
      </c>
      <c r="H9" s="9" t="s">
        <v>83</v>
      </c>
      <c r="I9" s="9" t="s">
        <v>120</v>
      </c>
      <c r="J9" s="9" t="s">
        <v>18</v>
      </c>
      <c r="K9" s="9" t="s">
        <v>101</v>
      </c>
      <c r="L9" s="9" t="s">
        <v>121</v>
      </c>
      <c r="M9" s="9" t="s">
        <v>9</v>
      </c>
      <c r="N9" s="9" t="s">
        <v>122</v>
      </c>
    </row>
    <row r="10" customFormat="false" ht="108" hidden="false" customHeight="true" outlineLevel="0" collapsed="false">
      <c r="A10" s="8" t="s">
        <v>123</v>
      </c>
      <c r="B10" s="9" t="s">
        <v>124</v>
      </c>
      <c r="C10" s="9" t="s">
        <v>125</v>
      </c>
      <c r="D10" s="9" t="s">
        <v>97</v>
      </c>
      <c r="E10" s="9" t="s">
        <v>126</v>
      </c>
      <c r="F10" s="9" t="s">
        <v>127</v>
      </c>
      <c r="G10" s="9" t="s">
        <v>128</v>
      </c>
      <c r="H10" s="9" t="s">
        <v>83</v>
      </c>
      <c r="I10" s="9" t="s">
        <v>84</v>
      </c>
      <c r="J10" s="9" t="s">
        <v>18</v>
      </c>
      <c r="K10" s="9" t="s">
        <v>101</v>
      </c>
      <c r="L10" s="9" t="s">
        <v>129</v>
      </c>
      <c r="M10" s="9" t="s">
        <v>9</v>
      </c>
      <c r="N10" s="9"/>
    </row>
    <row r="11" customFormat="false" ht="108" hidden="false" customHeight="true" outlineLevel="0" collapsed="false">
      <c r="A11" s="10" t="s">
        <v>130</v>
      </c>
      <c r="B11" s="11" t="s">
        <v>131</v>
      </c>
      <c r="C11" s="11" t="s">
        <v>132</v>
      </c>
      <c r="D11" s="11" t="s">
        <v>133</v>
      </c>
      <c r="E11" s="11" t="s">
        <v>134</v>
      </c>
      <c r="F11" s="11" t="s">
        <v>135</v>
      </c>
      <c r="G11" s="11" t="s">
        <v>136</v>
      </c>
      <c r="H11" s="11" t="s">
        <v>83</v>
      </c>
      <c r="I11" s="11" t="s">
        <v>84</v>
      </c>
      <c r="J11" s="11" t="s">
        <v>22</v>
      </c>
      <c r="K11" s="11" t="s">
        <v>137</v>
      </c>
      <c r="L11" s="11" t="s">
        <v>138</v>
      </c>
      <c r="M11" s="11" t="s">
        <v>9</v>
      </c>
      <c r="N11" s="11" t="s">
        <v>139</v>
      </c>
    </row>
    <row r="12" customFormat="false" ht="108" hidden="false" customHeight="true" outlineLevel="0" collapsed="false">
      <c r="A12" s="8" t="s">
        <v>140</v>
      </c>
      <c r="B12" s="9" t="s">
        <v>141</v>
      </c>
      <c r="C12" s="9" t="s">
        <v>142</v>
      </c>
      <c r="D12" s="9" t="s">
        <v>143</v>
      </c>
      <c r="E12" s="9" t="s">
        <v>144</v>
      </c>
      <c r="F12" s="9" t="s">
        <v>145</v>
      </c>
      <c r="G12" s="9" t="s">
        <v>146</v>
      </c>
      <c r="H12" s="9" t="s">
        <v>51</v>
      </c>
      <c r="I12" s="9" t="s">
        <v>84</v>
      </c>
      <c r="J12" s="9" t="s">
        <v>18</v>
      </c>
      <c r="K12" s="9" t="s">
        <v>147</v>
      </c>
      <c r="L12" s="9" t="s">
        <v>148</v>
      </c>
      <c r="M12" s="9" t="s">
        <v>9</v>
      </c>
      <c r="N12" s="9" t="s">
        <v>149</v>
      </c>
    </row>
    <row r="13" customFormat="false" ht="108" hidden="false" customHeight="true" outlineLevel="0" collapsed="false">
      <c r="A13" s="8" t="s">
        <v>150</v>
      </c>
      <c r="B13" s="9" t="s">
        <v>151</v>
      </c>
      <c r="C13" s="9" t="s">
        <v>152</v>
      </c>
      <c r="D13" s="9" t="s">
        <v>153</v>
      </c>
      <c r="E13" s="9" t="s">
        <v>154</v>
      </c>
      <c r="F13" s="9" t="s">
        <v>155</v>
      </c>
      <c r="G13" s="9" t="s">
        <v>156</v>
      </c>
      <c r="H13" s="9" t="s">
        <v>83</v>
      </c>
      <c r="I13" s="9" t="s">
        <v>84</v>
      </c>
      <c r="J13" s="9" t="s">
        <v>18</v>
      </c>
      <c r="K13" s="9" t="s">
        <v>147</v>
      </c>
      <c r="L13" s="9" t="s">
        <v>157</v>
      </c>
      <c r="M13" s="9" t="s">
        <v>9</v>
      </c>
      <c r="N13" s="9"/>
    </row>
    <row r="14" customFormat="false" ht="108" hidden="false" customHeight="true" outlineLevel="0" collapsed="false">
      <c r="A14" s="8" t="s">
        <v>158</v>
      </c>
      <c r="B14" s="9" t="s">
        <v>159</v>
      </c>
      <c r="C14" s="9" t="s">
        <v>160</v>
      </c>
      <c r="D14" s="9" t="s">
        <v>143</v>
      </c>
      <c r="E14" s="9" t="s">
        <v>161</v>
      </c>
      <c r="F14" s="9" t="s">
        <v>162</v>
      </c>
      <c r="G14" s="9" t="s">
        <v>163</v>
      </c>
      <c r="H14" s="9" t="s">
        <v>51</v>
      </c>
      <c r="I14" s="9" t="s">
        <v>52</v>
      </c>
      <c r="J14" s="9" t="s">
        <v>18</v>
      </c>
      <c r="K14" s="9" t="s">
        <v>164</v>
      </c>
      <c r="L14" s="9" t="s">
        <v>165</v>
      </c>
      <c r="M14" s="9" t="s">
        <v>9</v>
      </c>
      <c r="N14" s="9" t="s">
        <v>166</v>
      </c>
    </row>
    <row r="15" customFormat="false" ht="108" hidden="false" customHeight="true" outlineLevel="0" collapsed="false">
      <c r="A15" s="8" t="s">
        <v>167</v>
      </c>
      <c r="B15" s="9" t="s">
        <v>168</v>
      </c>
      <c r="C15" s="9" t="s">
        <v>169</v>
      </c>
      <c r="D15" s="9" t="s">
        <v>170</v>
      </c>
      <c r="E15" s="9" t="s">
        <v>171</v>
      </c>
      <c r="F15" s="9" t="s">
        <v>172</v>
      </c>
      <c r="G15" s="9" t="s">
        <v>173</v>
      </c>
      <c r="H15" s="9" t="s">
        <v>83</v>
      </c>
      <c r="I15" s="9" t="s">
        <v>52</v>
      </c>
      <c r="J15" s="9" t="s">
        <v>18</v>
      </c>
      <c r="K15" s="9" t="s">
        <v>92</v>
      </c>
      <c r="L15" s="9" t="s">
        <v>174</v>
      </c>
      <c r="M15" s="9" t="s">
        <v>9</v>
      </c>
      <c r="N15" s="9" t="s">
        <v>175</v>
      </c>
    </row>
    <row r="16" customFormat="false" ht="108" hidden="false" customHeight="true" outlineLevel="0" collapsed="false">
      <c r="A16" s="8" t="s">
        <v>176</v>
      </c>
      <c r="B16" s="9" t="s">
        <v>177</v>
      </c>
      <c r="C16" s="9" t="s">
        <v>178</v>
      </c>
      <c r="D16" s="9" t="s">
        <v>116</v>
      </c>
      <c r="E16" s="9" t="s">
        <v>179</v>
      </c>
      <c r="F16" s="9" t="s">
        <v>180</v>
      </c>
      <c r="G16" s="9" t="s">
        <v>181</v>
      </c>
      <c r="H16" s="9" t="s">
        <v>83</v>
      </c>
      <c r="I16" s="9" t="s">
        <v>84</v>
      </c>
      <c r="J16" s="9" t="s">
        <v>18</v>
      </c>
      <c r="K16" s="9" t="s">
        <v>101</v>
      </c>
      <c r="L16" s="9" t="s">
        <v>182</v>
      </c>
      <c r="M16" s="9" t="s">
        <v>9</v>
      </c>
      <c r="N16" s="9"/>
    </row>
  </sheetData>
  <autoFilter ref="A1:N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s>
  <sheetData>
    <row r="1" customFormat="false" ht="17.25" hidden="false" customHeight="true" outlineLevel="0" collapsed="false">
      <c r="A1" s="12" t="s">
        <v>183</v>
      </c>
    </row>
    <row r="3" customFormat="false" ht="15" hidden="false" customHeight="true" outlineLevel="0" collapsed="false">
      <c r="A3" s="13" t="s">
        <v>40</v>
      </c>
      <c r="B3" s="13" t="s">
        <v>33</v>
      </c>
      <c r="C3" s="13" t="s">
        <v>39</v>
      </c>
      <c r="D3" s="13" t="s">
        <v>184</v>
      </c>
    </row>
    <row r="4" customFormat="false" ht="15" hidden="false" customHeight="true" outlineLevel="0" collapsed="false">
      <c r="A4" s="14" t="s">
        <v>185</v>
      </c>
      <c r="B4" s="14" t="s">
        <v>186</v>
      </c>
      <c r="C4" s="14" t="s">
        <v>187</v>
      </c>
      <c r="D4" s="14" t="n">
        <v>0</v>
      </c>
    </row>
    <row r="5" customFormat="false" ht="15" hidden="false" customHeight="true" outlineLevel="0" collapsed="false">
      <c r="A5" s="14" t="s">
        <v>53</v>
      </c>
      <c r="B5" s="14" t="s">
        <v>188</v>
      </c>
      <c r="C5" s="14" t="s">
        <v>187</v>
      </c>
      <c r="D5" s="14" t="n">
        <v>14</v>
      </c>
    </row>
    <row r="6" customFormat="false" ht="15" hidden="false" customHeight="true" outlineLevel="0" collapsed="false">
      <c r="A6" s="14" t="s">
        <v>101</v>
      </c>
      <c r="B6" s="14" t="s">
        <v>189</v>
      </c>
      <c r="C6" s="14" t="s">
        <v>187</v>
      </c>
      <c r="D6" s="14" t="n">
        <v>6</v>
      </c>
    </row>
    <row r="7" customFormat="false" ht="15" hidden="false" customHeight="true" outlineLevel="0" collapsed="false">
      <c r="A7" s="14" t="s">
        <v>137</v>
      </c>
      <c r="B7" s="14" t="s">
        <v>190</v>
      </c>
      <c r="C7" s="14" t="s">
        <v>187</v>
      </c>
      <c r="D7" s="14" t="n">
        <v>6</v>
      </c>
    </row>
    <row r="8" customFormat="false" ht="15" hidden="false" customHeight="true" outlineLevel="0" collapsed="false">
      <c r="A8" s="14" t="s">
        <v>147</v>
      </c>
      <c r="B8" s="14" t="s">
        <v>191</v>
      </c>
      <c r="C8" s="14" t="s">
        <v>187</v>
      </c>
      <c r="D8" s="14" t="n">
        <v>6</v>
      </c>
    </row>
    <row r="9" customFormat="false" ht="15" hidden="false" customHeight="true" outlineLevel="0" collapsed="false">
      <c r="A9" s="14" t="s">
        <v>65</v>
      </c>
      <c r="B9" s="14" t="s">
        <v>192</v>
      </c>
      <c r="C9" s="14" t="s">
        <v>193</v>
      </c>
      <c r="D9" s="14" t="n">
        <v>17</v>
      </c>
    </row>
    <row r="10" customFormat="false" ht="15" hidden="false" customHeight="true" outlineLevel="0" collapsed="false">
      <c r="A10" s="14" t="s">
        <v>164</v>
      </c>
      <c r="B10" s="14" t="s">
        <v>194</v>
      </c>
      <c r="C10" s="14" t="s">
        <v>187</v>
      </c>
      <c r="D10" s="14" t="n">
        <v>6</v>
      </c>
    </row>
    <row r="11" customFormat="false" ht="15" hidden="false" customHeight="true" outlineLevel="0" collapsed="false">
      <c r="A11" s="14" t="s">
        <v>92</v>
      </c>
      <c r="B11" s="14" t="s">
        <v>195</v>
      </c>
      <c r="C11" s="14" t="s">
        <v>187</v>
      </c>
      <c r="D11" s="14" t="n">
        <v>5</v>
      </c>
    </row>
    <row r="12" customFormat="false" ht="15" hidden="false" customHeight="true" outlineLevel="0" collapsed="false">
      <c r="A12" s="14" t="s">
        <v>196</v>
      </c>
      <c r="B12" s="14" t="s">
        <v>197</v>
      </c>
      <c r="C12" s="14" t="s">
        <v>198</v>
      </c>
      <c r="D12" s="14" t="n">
        <v>0</v>
      </c>
    </row>
    <row r="13" customFormat="false" ht="15" hidden="false" customHeight="true" outlineLevel="0" collapsed="false">
      <c r="A13" s="15" t="s">
        <v>199</v>
      </c>
      <c r="B13" s="16"/>
      <c r="C13" s="16"/>
      <c r="D13" s="15" t="n">
        <f aca="false">SUM(D4:D12)</f>
        <v>60</v>
      </c>
    </row>
    <row r="15" customFormat="false" ht="15" hidden="false" customHeight="true" outlineLevel="0" collapsed="false">
      <c r="A15" s="17" t="s">
        <v>200</v>
      </c>
    </row>
    <row r="16" customFormat="false" ht="15" hidden="false" customHeight="true" outlineLevel="0" collapsed="false">
      <c r="A16" s="18" t="s">
        <v>201</v>
      </c>
      <c r="B16" s="19" t="n">
        <f aca="false">COUNTA(Incidents!A2:A16)</f>
        <v>15</v>
      </c>
    </row>
    <row r="17" customFormat="false" ht="15" hidden="false" customHeight="true" outlineLevel="0" collapsed="false">
      <c r="A17" s="18" t="s">
        <v>51</v>
      </c>
      <c r="B17" s="19" t="n">
        <f aca="false">COUNTIF(Incidents!H2:H16,"Machine-evaluated")</f>
        <v>7</v>
      </c>
    </row>
    <row r="18" customFormat="false" ht="15" hidden="false" customHeight="true" outlineLevel="0" collapsed="false">
      <c r="A18" s="18" t="s">
        <v>202</v>
      </c>
      <c r="B18" s="19" t="n">
        <f aca="false">COUNTIF(Incidents!H2:H16,"Reasoned")</f>
        <v>8</v>
      </c>
    </row>
    <row r="19" customFormat="false" ht="15" hidden="false" customHeight="true" outlineLevel="0" collapsed="false">
      <c r="A19" s="18" t="s">
        <v>203</v>
      </c>
      <c r="B19" s="19" t="n">
        <f aca="false">COUNTIF(Incidents!I2:I16,"High")</f>
        <v>5</v>
      </c>
    </row>
    <row r="20" customFormat="false" ht="15" hidden="false" customHeight="true" outlineLevel="0" collapsed="false">
      <c r="A20" s="18" t="s">
        <v>204</v>
      </c>
      <c r="B20" s="19" t="n">
        <f aca="false">COUNTIF(Incidents!I2:I16,"Medium")</f>
        <v>7</v>
      </c>
    </row>
    <row r="21" customFormat="false" ht="15" hidden="false" customHeight="true" outlineLevel="0" collapsed="false">
      <c r="A21" s="18" t="s">
        <v>205</v>
      </c>
      <c r="B21" s="19" t="n">
        <f aca="false">COUNTIF(Incidents!I2:I16,"Low")</f>
        <v>1</v>
      </c>
    </row>
    <row r="22" customFormat="false" ht="15" hidden="false" customHeight="true" outlineLevel="0" collapsed="false">
      <c r="A22" s="18" t="s">
        <v>206</v>
      </c>
      <c r="B22" s="19" t="n">
        <f aca="false">COUNTIF(Incidents!J2:J16,"Open")</f>
        <v>12</v>
      </c>
    </row>
    <row r="23" customFormat="false" ht="15" hidden="false" customHeight="true" outlineLevel="0" collapsed="false">
      <c r="A23" s="18" t="s">
        <v>207</v>
      </c>
      <c r="B23" s="19" t="n">
        <f aca="false">COUNTIF(Incidents!J2:J16,"Not yet encoded")</f>
        <v>0</v>
      </c>
    </row>
    <row r="24" customFormat="false" ht="15" hidden="false" customHeight="true" outlineLevel="0" collapsed="false">
      <c r="A24" s="18" t="s">
        <v>208</v>
      </c>
      <c r="B24" s="19" t="n">
        <f aca="false">COUNTIF(Incidents!J2:J16,"Candidate")</f>
        <v>1</v>
      </c>
    </row>
    <row r="25" customFormat="false" ht="15" hidden="false" customHeight="true" outlineLevel="0" collapsed="false">
      <c r="A25" s="18" t="s">
        <v>209</v>
      </c>
      <c r="B25" s="19" t="n">
        <f aca="false">COUNTIF(Incidents!J2:J16,"Resolved")</f>
        <v>0</v>
      </c>
    </row>
    <row r="26" customFormat="false" ht="15" hidden="false" customHeight="true" outlineLevel="0" collapsed="false">
      <c r="A26" s="18" t="s">
        <v>210</v>
      </c>
      <c r="B26" s="19" t="n">
        <f aca="false">COUNTIF(Incidents!J2:J16,"Verified - no defect")</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2026-09-11T07:55:56Z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